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KursnaLista" sheetId="1" r:id="rId5"/>
    <sheet state="visible" name="Menjacnica" sheetId="2" r:id="rId6"/>
    <sheet state="visible" name="Menjacnica_resenja" sheetId="3" r:id="rId7"/>
    <sheet state="visible" name="Šifrarnik" sheetId="4" r:id="rId8"/>
    <sheet state="visible" name="Restoran" sheetId="5" r:id="rId9"/>
    <sheet state="visible" name="Restoran_resenja" sheetId="6" r:id="rId10"/>
    <sheet state="visible" name="Ocena" sheetId="7" r:id="rId11"/>
    <sheet state="visible" name="Ocene Scenario Summary" sheetId="8" r:id="rId12"/>
    <sheet state="visible" name="Planiranje" sheetId="9" r:id="rId13"/>
    <sheet state="visible" name="Izazov" sheetId="10" r:id="rId14"/>
    <sheet state="visible" name="CenaMaterijala" sheetId="11" r:id="rId15"/>
    <sheet state="visible" name="CenaMaterijala Scenario Summary" sheetId="12" r:id="rId16"/>
    <sheet state="visible" name="Prodaja" sheetId="13" r:id="rId17"/>
    <sheet state="visible" name="Statistika 1" sheetId="14" r:id="rId18"/>
    <sheet state="visible" name="Statistika 1 descriptive" sheetId="15" r:id="rId19"/>
    <sheet state="visible" name="Statistika 2" sheetId="16" r:id="rId20"/>
  </sheets>
  <definedNames>
    <definedName name="Valuta">KursnaLista!$B$4:$B$8</definedName>
    <definedName name="Sifrarnik">'Šifrarnik'!$B$3:$D$16</definedName>
    <definedName name="KursnaLista">KursnaLista!$B$3:$C$8</definedName>
  </definedNames>
  <calcPr/>
  <extLst>
    <ext uri="GoogleSheetsCustomDataVersion2">
      <go:sheetsCustomData xmlns:go="http://customooxmlschemas.google.com/" r:id="rId21" roundtripDataChecksum="TQR61dFC4K+VJ+GK/wrJdve3eZAmJo0lFapYgP5VE6Y="/>
    </ext>
  </extLst>
</workbook>
</file>

<file path=xl/sharedStrings.xml><?xml version="1.0" encoding="utf-8"?>
<sst xmlns="http://schemas.openxmlformats.org/spreadsheetml/2006/main" count="202" uniqueCount="116">
  <si>
    <t>Valuta</t>
  </si>
  <si>
    <t>Kurs</t>
  </si>
  <si>
    <t>EUR</t>
  </si>
  <si>
    <t>USD</t>
  </si>
  <si>
    <t>CHF</t>
  </si>
  <si>
    <t>GBP</t>
  </si>
  <si>
    <t>RUB</t>
  </si>
  <si>
    <t>ID</t>
  </si>
  <si>
    <t>Količina</t>
  </si>
  <si>
    <t>Ukupno</t>
  </si>
  <si>
    <t xml:space="preserve">Koristiti DataValidation da u koloni Valuta mogu biti unete samo vrednosti iz radnog lista KursnaLista, a uz pomoć VLOOKUP-a omogućiti da se nakon izabrane valute u koloni Kurs pojavi koliko iznosi kurs za datu valutu (takođe koristiti rad. list KursnaLista) </t>
  </si>
  <si>
    <t>IF(ISBLANK(C4);" ";VLOOKUP(C4;KursnaLista;2;FALSE))</t>
  </si>
  <si>
    <t>Šifra</t>
  </si>
  <si>
    <t>Naziv</t>
  </si>
  <si>
    <t>Cena</t>
  </si>
  <si>
    <t>Ćevapi</t>
  </si>
  <si>
    <t>Vešalica</t>
  </si>
  <si>
    <t>Ražnjići</t>
  </si>
  <si>
    <t>Sok 0.25</t>
  </si>
  <si>
    <t>Pivo 0.33</t>
  </si>
  <si>
    <t>Pivo 0.5</t>
  </si>
  <si>
    <t>Vino 0.5</t>
  </si>
  <si>
    <t>Vino 1l</t>
  </si>
  <si>
    <t>Kolači</t>
  </si>
  <si>
    <t>Palačinke</t>
  </si>
  <si>
    <t>Sladoled</t>
  </si>
  <si>
    <t>Hleb</t>
  </si>
  <si>
    <t>Salata</t>
  </si>
  <si>
    <t>Br.</t>
  </si>
  <si>
    <t>Jed. cena</t>
  </si>
  <si>
    <t>Koristiti DataValidation da u koloni Šifra mogu biti unete samo vrednosti iz radnog lista Šifrarnik, a uz pomoć VLOOKUP-a omogućiti da se nakon izabrane šifre u koloni Naziv i Jed.cena pojavi naziv jela za datu šifru, kao i cena jela (takođe koristiti rad. list Šifrarnik)</t>
  </si>
  <si>
    <t>Ukupno:</t>
  </si>
  <si>
    <t>IF(ISNUMBER(C4);VLOOKUP(C4;Sifrarnik;2;FALSE);" ") za kolonu Naziv</t>
  </si>
  <si>
    <t>IF(ISNUMBER(C4);VLOOKUP(C4;Sifrarnik;3;FALSE);" ") za kolonu Jed.cena</t>
  </si>
  <si>
    <t>UIFI</t>
  </si>
  <si>
    <t>Bodovi</t>
  </si>
  <si>
    <t xml:space="preserve">NAPOMENA: Da bi se koristila "Šta-ako" analiza potrebno je da postoji formula. </t>
  </si>
  <si>
    <t>Zadatak 1</t>
  </si>
  <si>
    <t>Zadatak 2</t>
  </si>
  <si>
    <t>Zadatak 3</t>
  </si>
  <si>
    <t>Seminarski rad</t>
  </si>
  <si>
    <t>Usmeni ispit</t>
  </si>
  <si>
    <t>Ukupno bodova</t>
  </si>
  <si>
    <t>Koliko bi student trebalo da osvoji bodova na usmenom ispitu da bi imao 9 iz predmeta (potreban broj bodova za 9 je 85)?</t>
  </si>
  <si>
    <t>Scenario Summary</t>
  </si>
  <si>
    <t>Current Values:</t>
  </si>
  <si>
    <t>o22</t>
  </si>
  <si>
    <t>o17</t>
  </si>
  <si>
    <t>o9</t>
  </si>
  <si>
    <t>Created by Windows User on 11-10-2020</t>
  </si>
  <si>
    <t>Changing Cells:</t>
  </si>
  <si>
    <t>C$7</t>
  </si>
  <si>
    <t>Result Cells:</t>
  </si>
  <si>
    <t>$C$8</t>
  </si>
  <si>
    <t>Notes:  Current Values column represents values of changing cells at</t>
  </si>
  <si>
    <t>time Scenario Summary Report was created.  Changing cells for each</t>
  </si>
  <si>
    <t>scenario are highlighted in gray.</t>
  </si>
  <si>
    <t>Budžet za goste</t>
  </si>
  <si>
    <t>Troškovi rezervacije</t>
  </si>
  <si>
    <t>Iznos po osobi</t>
  </si>
  <si>
    <t>Broj gostiju</t>
  </si>
  <si>
    <t>Budžet</t>
  </si>
  <si>
    <t>Koliko gostiju može da se opsluži sa budžetom od 50000RSD?</t>
  </si>
  <si>
    <t>Koliko treba da iznosi budžet za 150 gostiju?</t>
  </si>
  <si>
    <t>NAPOMENA: Da bi se koristila "Šta-ako" analiza potrebno je da postoji formula. Broj gostiju u drugoj prvoj tabeli treba preko formule izračunati, a budžet uneti ručno</t>
  </si>
  <si>
    <t>Mesec</t>
  </si>
  <si>
    <t>Prodaja</t>
  </si>
  <si>
    <t>Januar</t>
  </si>
  <si>
    <t>Februar</t>
  </si>
  <si>
    <t>Mart</t>
  </si>
  <si>
    <t>April</t>
  </si>
  <si>
    <t>Maj</t>
  </si>
  <si>
    <t>Jun</t>
  </si>
  <si>
    <t>Polugodišnji prosek</t>
  </si>
  <si>
    <t>Koliko treba da iznosi prodaja u junu mesecu da bi polugodišnji prosek bio 200.000 RSD?</t>
  </si>
  <si>
    <t>Ukupno para</t>
  </si>
  <si>
    <t>Cena materijala po metru</t>
  </si>
  <si>
    <t>Metara</t>
  </si>
  <si>
    <t>Ostatak nakon kupovine</t>
  </si>
  <si>
    <t>Upravljanje scenarijom - ukoliko cena materijala po metru poraste na 40, 50, 60, 70</t>
  </si>
  <si>
    <t>s40</t>
  </si>
  <si>
    <t>s50</t>
  </si>
  <si>
    <t>s60</t>
  </si>
  <si>
    <t>s70</t>
  </si>
  <si>
    <t>$C$4</t>
  </si>
  <si>
    <t>$C$6</t>
  </si>
  <si>
    <t>Prodato kom.</t>
  </si>
  <si>
    <t>Prihod</t>
  </si>
  <si>
    <t>Proizvodnja</t>
  </si>
  <si>
    <t>Cena po kom.</t>
  </si>
  <si>
    <t>Proizvedeno kom.</t>
  </si>
  <si>
    <t>Trošak</t>
  </si>
  <si>
    <t>Fiksan trošak</t>
  </si>
  <si>
    <t>Profit</t>
  </si>
  <si>
    <t>Izračunati nedostajuće vrednosti</t>
  </si>
  <si>
    <t>Korišćenjem What-if analize - Data Table videti uticaj povećanja broja prodatih kom. (350,400,450,500) na prihod, a zatim i na profit</t>
  </si>
  <si>
    <t>Videti i uticaj povećanja cene po kom. tokom proizvodnje zajedno sa povećanjem broj prodatih kom. na prihod, a zatim i na profit</t>
  </si>
  <si>
    <t>X</t>
  </si>
  <si>
    <t>Y</t>
  </si>
  <si>
    <t>Korelacija, grafik sa obe promenljive, kovarijansa, deskriptivna statistika za svaku promenljivu pojedinačno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</si>
  <si>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</si>
  <si>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</si>
  <si>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</si>
  <si>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</si>
  <si>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</si>
  <si>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</si>
  <si>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</si>
  <si>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</si>
  <si>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</si>
  <si>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</si>
  <si>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</si>
  <si>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</si>
  <si>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</si>
  <si>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Level(95.0%)</t>
  </si>
  <si>
    <t>A</t>
  </si>
  <si>
    <t>Deskriptivna statistika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</si>
</sst>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\ &quot;RSD&quot;"/>
  </numFmts>
  <fonts count="15">
    <font>
      <sz val="10.0"/>
      <color rgb="FF000000"/>
      <name val="Arial"/>
      <scheme val="minor"/>
    </font>
    <font>
      <b/>
      <sz val="11.0"/>
      <color rgb="FF000000"/>
      <name val="Arial"/>
    </font>
    <font>
      <sz val="11.0"/>
      <color rgb="FF000000"/>
      <name val="Arial"/>
    </font>
    <font>
      <sz val="10.0"/>
      <color rgb="FF000000"/>
      <name val="Arial"/>
    </font>
    <font>
      <b/>
      <sz val="10.0"/>
      <color theme="1"/>
      <name val="Arial"/>
    </font>
    <font/>
    <font>
      <b/>
      <sz val="10.0"/>
      <color rgb="FF000000"/>
      <name val="Arial"/>
    </font>
    <font>
      <sz val="10.0"/>
      <color theme="1"/>
      <name val="Arial"/>
    </font>
    <font>
      <sz val="11.0"/>
      <color rgb="FF000000"/>
      <name val="Calibri"/>
    </font>
    <font>
      <b/>
      <sz val="11.0"/>
      <color rgb="FFFFFFFF"/>
      <name val="Arial"/>
    </font>
    <font>
      <sz val="9.0"/>
      <color rgb="FFFFFFFF"/>
      <name val="Arial"/>
    </font>
    <font>
      <sz val="8.0"/>
      <color rgb="FF000000"/>
      <name val="Arial"/>
    </font>
    <font>
      <b/>
      <sz val="10.0"/>
      <color rgb="FF000080"/>
      <name val="Arial"/>
    </font>
    <font>
      <color theme="1"/>
      <name val="Arial"/>
      <scheme val="minor"/>
    </font>
    <font>
      <i/>
      <sz val="10.0"/>
      <color rgb="FF000000"/>
      <name val="Arial"/>
    </font>
  </fonts>
  <fills count="11">
    <fill>
      <patternFill patternType="none"/>
    </fill>
    <fill>
      <patternFill patternType="lightGray"/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E699"/>
        <bgColor rgb="FFFFE699"/>
      </patternFill>
    </fill>
    <fill>
      <patternFill patternType="solid">
        <fgColor rgb="FFF8CBAD"/>
        <bgColor rgb="FFF8CBAD"/>
      </patternFill>
    </fill>
    <fill>
      <patternFill patternType="solid">
        <fgColor rgb="FFECECEC"/>
        <bgColor rgb="FFECECEC"/>
      </patternFill>
    </fill>
    <fill>
      <patternFill patternType="solid">
        <fgColor rgb="FF800080"/>
        <bgColor rgb="FF800080"/>
      </patternFill>
    </fill>
    <fill>
      <patternFill patternType="solid">
        <fgColor rgb="FFC0C0C0"/>
        <bgColor rgb="FFC0C0C0"/>
      </patternFill>
    </fill>
    <fill>
      <patternFill patternType="solid">
        <fgColor rgb="FFE2EFDA"/>
        <bgColor rgb="FFE2EFDA"/>
      </patternFill>
    </fill>
    <fill>
      <patternFill patternType="solid">
        <fgColor rgb="FFD6DCE4"/>
        <bgColor rgb="FFD6DCE4"/>
      </patternFill>
    </fill>
  </fills>
  <borders count="1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medium">
        <color rgb="FF000000"/>
      </top>
      <bottom/>
    </border>
    <border>
      <left/>
      <right/>
      <top/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top/>
      <bottom style="medium">
        <color rgb="FF000000"/>
      </bottom>
    </border>
    <border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top style="medium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6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1" fillId="0" fontId="2" numFmtId="0" xfId="0" applyAlignment="1" applyBorder="1" applyFont="1">
      <alignment horizontal="center"/>
    </xf>
    <xf borderId="1" fillId="0" fontId="3" numFmtId="0" xfId="0" applyAlignment="1" applyBorder="1" applyFont="1">
      <alignment readingOrder="0"/>
    </xf>
    <xf borderId="1" fillId="0" fontId="3" numFmtId="0" xfId="0" applyBorder="1" applyFont="1"/>
    <xf borderId="2" fillId="3" fontId="1" numFmtId="0" xfId="0" applyBorder="1" applyFill="1" applyFont="1"/>
    <xf borderId="0" fillId="0" fontId="4" numFmtId="0" xfId="0" applyFont="1"/>
    <xf borderId="3" fillId="2" fontId="4" numFmtId="0" xfId="0" applyAlignment="1" applyBorder="1" applyFont="1">
      <alignment shrinkToFit="0" wrapText="1"/>
    </xf>
    <xf borderId="4" fillId="0" fontId="5" numFmtId="0" xfId="0" applyBorder="1" applyFont="1"/>
    <xf borderId="5" fillId="0" fontId="5" numFmtId="0" xfId="0" applyBorder="1" applyFont="1"/>
    <xf borderId="1" fillId="0" fontId="2" numFmtId="0" xfId="0" applyAlignment="1" applyBorder="1" applyFont="1">
      <alignment horizontal="center" readingOrder="0"/>
    </xf>
    <xf borderId="3" fillId="2" fontId="4" numFmtId="0" xfId="0" applyBorder="1" applyFont="1"/>
    <xf borderId="1" fillId="4" fontId="1" numFmtId="0" xfId="0" applyAlignment="1" applyBorder="1" applyFill="1" applyFont="1">
      <alignment horizontal="center"/>
    </xf>
    <xf borderId="3" fillId="4" fontId="4" numFmtId="0" xfId="0" applyAlignment="1" applyBorder="1" applyFont="1">
      <alignment shrinkToFit="0" wrapText="1"/>
    </xf>
    <xf borderId="0" fillId="0" fontId="2" numFmtId="0" xfId="0" applyFont="1"/>
    <xf borderId="1" fillId="0" fontId="1" numFmtId="0" xfId="0" applyBorder="1" applyFont="1"/>
    <xf borderId="1" fillId="0" fontId="2" numFmtId="0" xfId="0" applyBorder="1" applyFont="1"/>
    <xf borderId="3" fillId="4" fontId="4" numFmtId="0" xfId="0" applyBorder="1" applyFont="1"/>
    <xf borderId="1" fillId="4" fontId="6" numFmtId="0" xfId="0" applyAlignment="1" applyBorder="1" applyFont="1">
      <alignment horizontal="left"/>
    </xf>
    <xf borderId="1" fillId="4" fontId="4" numFmtId="0" xfId="0" applyBorder="1" applyFont="1"/>
    <xf borderId="1" fillId="5" fontId="1" numFmtId="0" xfId="0" applyAlignment="1" applyBorder="1" applyFill="1" applyFont="1">
      <alignment horizontal="center"/>
    </xf>
    <xf borderId="3" fillId="5" fontId="7" numFmtId="0" xfId="0" applyBorder="1" applyFont="1"/>
    <xf borderId="1" fillId="3" fontId="2" numFmtId="0" xfId="0" applyBorder="1" applyFont="1"/>
    <xf borderId="1" fillId="3" fontId="2" numFmtId="0" xfId="0" applyAlignment="1" applyBorder="1" applyFont="1">
      <alignment horizontal="center"/>
    </xf>
    <xf borderId="1" fillId="6" fontId="3" numFmtId="0" xfId="0" applyBorder="1" applyFill="1" applyFont="1"/>
    <xf borderId="0" fillId="0" fontId="8" numFmtId="0" xfId="0" applyFont="1"/>
    <xf borderId="3" fillId="5" fontId="1" numFmtId="0" xfId="0" applyAlignment="1" applyBorder="1" applyFont="1">
      <alignment shrinkToFit="0" wrapText="1"/>
    </xf>
    <xf borderId="0" fillId="0" fontId="3" numFmtId="0" xfId="0" applyFont="1"/>
    <xf borderId="6" fillId="7" fontId="9" numFmtId="0" xfId="0" applyAlignment="1" applyBorder="1" applyFill="1" applyFont="1">
      <alignment horizontal="left"/>
    </xf>
    <xf borderId="6" fillId="7" fontId="10" numFmtId="0" xfId="0" applyAlignment="1" applyBorder="1" applyFont="1">
      <alignment horizontal="right"/>
    </xf>
    <xf borderId="7" fillId="7" fontId="9" numFmtId="0" xfId="0" applyAlignment="1" applyBorder="1" applyFont="1">
      <alignment horizontal="left"/>
    </xf>
    <xf borderId="7" fillId="7" fontId="10" numFmtId="0" xfId="0" applyAlignment="1" applyBorder="1" applyFont="1">
      <alignment horizontal="right"/>
    </xf>
    <xf borderId="2" fillId="8" fontId="6" numFmtId="0" xfId="0" applyAlignment="1" applyBorder="1" applyFill="1" applyFont="1">
      <alignment horizontal="left"/>
    </xf>
    <xf borderId="0" fillId="0" fontId="11" numFmtId="0" xfId="0" applyAlignment="1" applyFont="1">
      <alignment shrinkToFit="0" vertical="top" wrapText="1"/>
    </xf>
    <xf borderId="8" fillId="8" fontId="12" numFmtId="0" xfId="0" applyAlignment="1" applyBorder="1" applyFont="1">
      <alignment horizontal="left"/>
    </xf>
    <xf borderId="4" fillId="0" fontId="3" numFmtId="0" xfId="0" applyBorder="1" applyFont="1"/>
    <xf borderId="2" fillId="8" fontId="3" numFmtId="0" xfId="0" applyBorder="1" applyFont="1"/>
    <xf borderId="9" fillId="8" fontId="6" numFmtId="0" xfId="0" applyAlignment="1" applyBorder="1" applyFont="1">
      <alignment horizontal="left"/>
    </xf>
    <xf borderId="10" fillId="0" fontId="3" numFmtId="0" xfId="0" applyBorder="1" applyFont="1"/>
    <xf borderId="3" fillId="5" fontId="1" numFmtId="0" xfId="0" applyAlignment="1" applyBorder="1" applyFont="1">
      <alignment horizontal="center" vertical="center"/>
    </xf>
    <xf borderId="1" fillId="3" fontId="2" numFmtId="164" xfId="0" applyAlignment="1" applyBorder="1" applyFont="1" applyNumberFormat="1">
      <alignment horizontal="center"/>
    </xf>
    <xf borderId="3" fillId="5" fontId="1" numFmtId="0" xfId="0" applyAlignment="1" applyBorder="1" applyFont="1">
      <alignment shrinkToFit="0" vertical="center" wrapText="1"/>
    </xf>
    <xf borderId="3" fillId="5" fontId="4" numFmtId="0" xfId="0" applyAlignment="1" applyBorder="1" applyFont="1">
      <alignment shrinkToFit="0" wrapText="1"/>
    </xf>
    <xf borderId="1" fillId="0" fontId="8" numFmtId="0" xfId="0" applyBorder="1" applyFont="1"/>
    <xf borderId="1" fillId="0" fontId="8" numFmtId="0" xfId="0" applyAlignment="1" applyBorder="1" applyFont="1">
      <alignment horizontal="center"/>
    </xf>
    <xf borderId="1" fillId="3" fontId="8" numFmtId="0" xfId="0" applyBorder="1" applyFont="1"/>
    <xf borderId="1" fillId="3" fontId="8" numFmtId="0" xfId="0" applyAlignment="1" applyBorder="1" applyFont="1">
      <alignment horizontal="center"/>
    </xf>
    <xf borderId="3" fillId="4" fontId="1" numFmtId="0" xfId="0" applyAlignment="1" applyBorder="1" applyFont="1">
      <alignment horizontal="center" shrinkToFit="0" wrapText="1"/>
    </xf>
    <xf borderId="1" fillId="4" fontId="1" numFmtId="0" xfId="0" applyBorder="1" applyFont="1"/>
    <xf borderId="3" fillId="4" fontId="1" numFmtId="0" xfId="0" applyAlignment="1" applyBorder="1" applyFont="1">
      <alignment shrinkToFit="0" vertical="center" wrapText="1"/>
    </xf>
    <xf borderId="0" fillId="0" fontId="13" numFmtId="0" xfId="0" applyFont="1"/>
    <xf borderId="11" fillId="9" fontId="2" numFmtId="0" xfId="0" applyAlignment="1" applyBorder="1" applyFill="1" applyFont="1">
      <alignment textRotation="45"/>
    </xf>
    <xf borderId="1" fillId="9" fontId="2" numFmtId="0" xfId="0" applyBorder="1" applyFont="1"/>
    <xf borderId="12" fillId="0" fontId="5" numFmtId="0" xfId="0" applyBorder="1" applyFont="1"/>
    <xf borderId="13" fillId="0" fontId="5" numFmtId="0" xfId="0" applyBorder="1" applyFont="1"/>
    <xf borderId="3" fillId="9" fontId="1" numFmtId="0" xfId="0" applyAlignment="1" applyBorder="1" applyFont="1">
      <alignment horizontal="left" shrinkToFit="0" vertical="center" wrapText="1"/>
    </xf>
    <xf borderId="1" fillId="10" fontId="1" numFmtId="0" xfId="0" applyAlignment="1" applyBorder="1" applyFill="1" applyFont="1">
      <alignment horizontal="center"/>
    </xf>
    <xf borderId="0" fillId="0" fontId="8" numFmtId="0" xfId="0" applyAlignment="1" applyFont="1">
      <alignment vertical="center"/>
    </xf>
    <xf borderId="3" fillId="10" fontId="6" numFmtId="0" xfId="0" applyAlignment="1" applyBorder="1" applyFont="1">
      <alignment shrinkToFit="0" wrapText="1"/>
    </xf>
    <xf borderId="14" fillId="0" fontId="14" numFmtId="0" xfId="0" applyAlignment="1" applyBorder="1" applyFont="1">
      <alignment horizontal="center"/>
    </xf>
    <xf borderId="3" fillId="10" fontId="4" numFmtId="0" xfId="0" applyAlignment="1" applyBorder="1" applyFont="1">
      <alignment horizontal="center" vertical="center"/>
    </xf>
    <xf borderId="0" fillId="0" fontId="7" numFmtId="0" xfId="0" applyFont="1"/>
    <xf borderId="14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21" Type="http://customschemas.google.com/relationships/workbookmetadata" Target="metadata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v>X</c:v>
          </c:tx>
          <c:spPr>
            <a:ln cmpd="sng" w="28575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val>
            <c:numRef>
              <c:f>'Statistika 1'!$B$4:$B$11</c:f>
              <c:numCache/>
            </c:numRef>
          </c:val>
          <c:smooth val="0"/>
        </c:ser>
        <c:ser>
          <c:idx val="1"/>
          <c:order val="1"/>
          <c:tx>
            <c:v>Y</c:v>
          </c:tx>
          <c:spPr>
            <a:ln cmpd="sng" w="28575"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val>
            <c:numRef>
              <c:f>'Statistika 1'!$C$4:$C$11</c:f>
              <c:numCache/>
            </c:numRef>
          </c:val>
          <c:smooth val="0"/>
        </c:ser>
        <c:axId val="1262627136"/>
        <c:axId val="1727298922"/>
      </c:lineChart>
      <c:catAx>
        <c:axId val="126262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Calibri"/>
              </a:defRPr>
            </a:pPr>
          </a:p>
        </c:txPr>
        <c:crossAx val="1727298922"/>
      </c:catAx>
      <c:valAx>
        <c:axId val="172729892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Calibri"/>
              </a:defRPr>
            </a:pPr>
          </a:p>
        </c:txPr>
        <c:crossAx val="126262713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723900</xdr:colOff>
      <xdr:row>1</xdr:row>
      <xdr:rowOff>85725</xdr:rowOff>
    </xdr:from>
    <xdr:ext cx="3990975" cy="1943100"/>
    <xdr:graphicFrame>
      <xdr:nvGraphicFramePr>
        <xdr:cNvPr id="204734519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533400</xdr:colOff>
      <xdr:row>12</xdr:row>
      <xdr:rowOff>76200</xdr:rowOff>
    </xdr:from>
    <xdr:ext cx="3105150" cy="7715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1" t="s">
        <v>0</v>
      </c>
      <c r="C3" s="1" t="s">
        <v>1</v>
      </c>
    </row>
    <row r="4" ht="15.75" customHeight="1">
      <c r="B4" s="2" t="s">
        <v>2</v>
      </c>
      <c r="C4" s="2">
        <v>119.369</v>
      </c>
    </row>
    <row r="5" ht="15.75" customHeight="1">
      <c r="B5" s="2" t="s">
        <v>3</v>
      </c>
      <c r="C5" s="2">
        <v>100.725</v>
      </c>
    </row>
    <row r="6" ht="15.75" customHeight="1">
      <c r="B6" s="2" t="s">
        <v>4</v>
      </c>
      <c r="C6" s="2">
        <v>102.586</v>
      </c>
    </row>
    <row r="7" ht="15.75" customHeight="1">
      <c r="B7" s="2" t="s">
        <v>5</v>
      </c>
      <c r="C7" s="2">
        <v>133.822</v>
      </c>
    </row>
    <row r="8" ht="15.75" customHeight="1">
      <c r="B8" s="2" t="s">
        <v>6</v>
      </c>
      <c r="C8" s="2">
        <v>1.7215</v>
      </c>
    </row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1" t="s">
        <v>7</v>
      </c>
      <c r="C3" s="1" t="s">
        <v>0</v>
      </c>
      <c r="D3" s="1" t="s">
        <v>1</v>
      </c>
      <c r="E3" s="1" t="s">
        <v>8</v>
      </c>
      <c r="F3" s="1" t="s">
        <v>9</v>
      </c>
    </row>
    <row r="4" ht="15.75" customHeight="1">
      <c r="B4" s="2">
        <v>10.0</v>
      </c>
      <c r="C4" s="3" t="s">
        <v>2</v>
      </c>
      <c r="D4" s="4"/>
      <c r="E4" s="4"/>
      <c r="F4" s="4"/>
      <c r="H4" s="5"/>
      <c r="I4" s="6"/>
      <c r="J4" s="6"/>
      <c r="K4" s="6"/>
    </row>
    <row r="5" ht="15.75" customHeight="1">
      <c r="B5" s="2">
        <v>20.0</v>
      </c>
      <c r="C5" s="3"/>
      <c r="D5" s="4"/>
      <c r="E5" s="4"/>
      <c r="F5" s="4"/>
    </row>
    <row r="6" ht="15.75" customHeight="1">
      <c r="B6" s="2">
        <v>30.0</v>
      </c>
      <c r="C6" s="4"/>
      <c r="D6" s="4"/>
      <c r="E6" s="4"/>
      <c r="F6" s="4"/>
    </row>
    <row r="7" ht="15.75" customHeight="1">
      <c r="B7" s="2">
        <v>40.0</v>
      </c>
      <c r="C7" s="4"/>
      <c r="D7" s="4"/>
      <c r="E7" s="4"/>
      <c r="F7" s="4"/>
    </row>
    <row r="8" ht="15.75" customHeight="1">
      <c r="B8" s="2">
        <v>50.0</v>
      </c>
      <c r="C8" s="4"/>
      <c r="D8" s="4"/>
      <c r="E8" s="4"/>
      <c r="F8" s="4"/>
    </row>
    <row r="9" ht="15.75" customHeight="1">
      <c r="B9" s="2">
        <v>60.0</v>
      </c>
      <c r="C9" s="4"/>
      <c r="D9" s="4"/>
      <c r="E9" s="4"/>
      <c r="F9" s="4"/>
    </row>
    <row r="10" ht="15.75" customHeight="1"/>
    <row r="11" ht="61.5" customHeight="1">
      <c r="B11" s="7" t="s">
        <v>10</v>
      </c>
      <c r="C11" s="8"/>
      <c r="D11" s="8"/>
      <c r="E11" s="8"/>
      <c r="F11" s="9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1:F1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9" width="14.38"/>
    <col customWidth="1" min="10" max="10" width="24.88"/>
    <col customWidth="1" min="11" max="26" width="14.38"/>
  </cols>
  <sheetData>
    <row r="1" ht="15.75" customHeight="1"/>
    <row r="2" ht="15.75" customHeight="1"/>
    <row r="3" ht="15.75" customHeight="1">
      <c r="B3" s="1" t="s">
        <v>7</v>
      </c>
      <c r="C3" s="1" t="s">
        <v>0</v>
      </c>
      <c r="D3" s="1" t="s">
        <v>1</v>
      </c>
      <c r="E3" s="1" t="s">
        <v>8</v>
      </c>
      <c r="F3" s="1" t="s">
        <v>9</v>
      </c>
    </row>
    <row r="4" ht="15.75" customHeight="1">
      <c r="B4" s="2">
        <v>10.0</v>
      </c>
      <c r="C4" s="10" t="s">
        <v>2</v>
      </c>
      <c r="D4" s="2">
        <f>VLOOKUP(C4,KursnaLista,2,FALSE)</f>
        <v>119.369</v>
      </c>
      <c r="E4" s="2">
        <v>3.0</v>
      </c>
      <c r="F4" s="2">
        <f t="shared" ref="F4:F9" si="1">D4*E4</f>
        <v>358.107</v>
      </c>
      <c r="H4" s="11" t="s">
        <v>11</v>
      </c>
      <c r="I4" s="8"/>
      <c r="J4" s="9"/>
    </row>
    <row r="5" ht="15.75" customHeight="1">
      <c r="B5" s="2">
        <v>20.0</v>
      </c>
      <c r="C5" s="2" t="s">
        <v>4</v>
      </c>
      <c r="D5" s="2">
        <f>VLOOKUP(C5,KursnaLista,2,FALSE)</f>
        <v>102.586</v>
      </c>
      <c r="E5" s="2">
        <v>5.0</v>
      </c>
      <c r="F5" s="2">
        <f t="shared" si="1"/>
        <v>512.93</v>
      </c>
    </row>
    <row r="6" ht="15.75" customHeight="1">
      <c r="B6" s="2">
        <v>30.0</v>
      </c>
      <c r="C6" s="2" t="s">
        <v>2</v>
      </c>
      <c r="D6" s="2">
        <f>VLOOKUP(C6,KursnaLista,2,FALSE)</f>
        <v>119.369</v>
      </c>
      <c r="E6" s="2">
        <v>3.0</v>
      </c>
      <c r="F6" s="2">
        <f t="shared" si="1"/>
        <v>358.107</v>
      </c>
    </row>
    <row r="7" ht="15.75" customHeight="1">
      <c r="B7" s="2">
        <v>40.0</v>
      </c>
      <c r="C7" s="2" t="s">
        <v>5</v>
      </c>
      <c r="D7" s="2">
        <f>VLOOKUP(C7,KursnaLista,2,FALSE)</f>
        <v>133.822</v>
      </c>
      <c r="E7" s="2">
        <v>7.0</v>
      </c>
      <c r="F7" s="2">
        <f t="shared" si="1"/>
        <v>936.754</v>
      </c>
    </row>
    <row r="8" ht="15.75" customHeight="1">
      <c r="B8" s="2">
        <v>50.0</v>
      </c>
      <c r="C8" s="2" t="s">
        <v>5</v>
      </c>
      <c r="D8" s="2">
        <f>VLOOKUP(C8,KursnaLista,2,FALSE)</f>
        <v>133.822</v>
      </c>
      <c r="E8" s="2">
        <v>9.0</v>
      </c>
      <c r="F8" s="2">
        <f t="shared" si="1"/>
        <v>1204.398</v>
      </c>
    </row>
    <row r="9" ht="15.75" customHeight="1">
      <c r="B9" s="2">
        <v>60.0</v>
      </c>
      <c r="C9" s="2" t="s">
        <v>6</v>
      </c>
      <c r="D9" s="2">
        <f>VLOOKUP(C9,KursnaLista,2,FALSE)</f>
        <v>1.7215</v>
      </c>
      <c r="E9" s="2">
        <v>56.0</v>
      </c>
      <c r="F9" s="2">
        <f t="shared" si="1"/>
        <v>96.404</v>
      </c>
    </row>
    <row r="10" ht="15.75" customHeight="1"/>
    <row r="11" ht="15.75" customHeight="1">
      <c r="B11" s="7" t="s">
        <v>10</v>
      </c>
      <c r="C11" s="8"/>
      <c r="D11" s="8"/>
      <c r="E11" s="8"/>
      <c r="F11" s="9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H4:J4"/>
    <mergeCell ref="B11:F11"/>
  </mergeCells>
  <dataValidations>
    <dataValidation type="list" allowBlank="1" showErrorMessage="1" sqref="C4:C9">
      <formula1>Valuta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12" t="s">
        <v>12</v>
      </c>
      <c r="C3" s="12" t="s">
        <v>13</v>
      </c>
      <c r="D3" s="12" t="s">
        <v>14</v>
      </c>
    </row>
    <row r="4" ht="15.75" customHeight="1">
      <c r="B4" s="2">
        <v>1001.0</v>
      </c>
      <c r="C4" s="2" t="s">
        <v>15</v>
      </c>
      <c r="D4" s="2">
        <v>300.0</v>
      </c>
    </row>
    <row r="5" ht="15.75" customHeight="1">
      <c r="B5" s="2">
        <v>1002.0</v>
      </c>
      <c r="C5" s="2" t="s">
        <v>16</v>
      </c>
      <c r="D5" s="2">
        <v>225.0</v>
      </c>
    </row>
    <row r="6" ht="15.75" customHeight="1">
      <c r="B6" s="2">
        <v>1003.0</v>
      </c>
      <c r="C6" s="2" t="s">
        <v>17</v>
      </c>
      <c r="D6" s="2">
        <v>250.0</v>
      </c>
    </row>
    <row r="7" ht="15.75" customHeight="1">
      <c r="B7" s="2">
        <v>1004.0</v>
      </c>
      <c r="C7" s="2" t="s">
        <v>18</v>
      </c>
      <c r="D7" s="2">
        <v>40.0</v>
      </c>
    </row>
    <row r="8" ht="15.75" customHeight="1">
      <c r="B8" s="2">
        <v>1005.0</v>
      </c>
      <c r="C8" s="2" t="s">
        <v>19</v>
      </c>
      <c r="D8" s="2">
        <v>55.0</v>
      </c>
    </row>
    <row r="9" ht="15.75" customHeight="1">
      <c r="B9" s="2">
        <v>1006.0</v>
      </c>
      <c r="C9" s="2" t="s">
        <v>20</v>
      </c>
      <c r="D9" s="2">
        <v>50.0</v>
      </c>
    </row>
    <row r="10" ht="15.75" customHeight="1">
      <c r="B10" s="2">
        <v>1007.0</v>
      </c>
      <c r="C10" s="2" t="s">
        <v>21</v>
      </c>
      <c r="D10" s="2">
        <v>100.0</v>
      </c>
    </row>
    <row r="11" ht="15.75" customHeight="1">
      <c r="B11" s="2">
        <v>1008.0</v>
      </c>
      <c r="C11" s="2" t="s">
        <v>22</v>
      </c>
      <c r="D11" s="2">
        <v>300.0</v>
      </c>
    </row>
    <row r="12" ht="15.75" customHeight="1">
      <c r="B12" s="2">
        <v>1009.0</v>
      </c>
      <c r="C12" s="2" t="s">
        <v>23</v>
      </c>
      <c r="D12" s="2">
        <v>60.0</v>
      </c>
    </row>
    <row r="13" ht="15.75" customHeight="1">
      <c r="B13" s="2">
        <v>1010.0</v>
      </c>
      <c r="C13" s="2" t="s">
        <v>24</v>
      </c>
      <c r="D13" s="2">
        <v>52.0</v>
      </c>
    </row>
    <row r="14" ht="15.75" customHeight="1">
      <c r="B14" s="2">
        <v>1011.0</v>
      </c>
      <c r="C14" s="2" t="s">
        <v>25</v>
      </c>
      <c r="D14" s="2">
        <v>40.0</v>
      </c>
    </row>
    <row r="15" ht="15.75" customHeight="1">
      <c r="B15" s="2">
        <v>1012.0</v>
      </c>
      <c r="C15" s="2" t="s">
        <v>26</v>
      </c>
      <c r="D15" s="2">
        <v>15.0</v>
      </c>
    </row>
    <row r="16" ht="15.75" customHeight="1">
      <c r="B16" s="2">
        <v>1013.0</v>
      </c>
      <c r="C16" s="2" t="s">
        <v>27</v>
      </c>
      <c r="D16" s="2">
        <v>25.0</v>
      </c>
    </row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12" t="s">
        <v>28</v>
      </c>
      <c r="C3" s="12" t="s">
        <v>12</v>
      </c>
      <c r="D3" s="12" t="s">
        <v>8</v>
      </c>
      <c r="E3" s="12" t="s">
        <v>13</v>
      </c>
      <c r="F3" s="12" t="s">
        <v>29</v>
      </c>
      <c r="G3" s="12" t="s">
        <v>14</v>
      </c>
      <c r="I3" s="13" t="s">
        <v>30</v>
      </c>
      <c r="J3" s="8"/>
      <c r="K3" s="8"/>
      <c r="L3" s="8"/>
      <c r="M3" s="9"/>
    </row>
    <row r="4" ht="15.75" customHeight="1">
      <c r="B4" s="2">
        <v>1.0</v>
      </c>
      <c r="C4" s="2"/>
      <c r="D4" s="2"/>
      <c r="E4" s="2"/>
      <c r="F4" s="2"/>
      <c r="G4" s="2"/>
    </row>
    <row r="5" ht="15.75" customHeight="1">
      <c r="B5" s="2">
        <v>2.0</v>
      </c>
      <c r="C5" s="2"/>
      <c r="D5" s="2"/>
      <c r="E5" s="2"/>
      <c r="F5" s="2"/>
      <c r="G5" s="2"/>
    </row>
    <row r="6" ht="15.75" customHeight="1">
      <c r="B6" s="2">
        <v>3.0</v>
      </c>
      <c r="C6" s="2"/>
      <c r="D6" s="2"/>
      <c r="E6" s="2"/>
      <c r="F6" s="2"/>
      <c r="G6" s="2"/>
    </row>
    <row r="7" ht="15.75" customHeight="1">
      <c r="B7" s="2">
        <v>4.0</v>
      </c>
      <c r="C7" s="2"/>
      <c r="D7" s="2"/>
      <c r="E7" s="2"/>
      <c r="F7" s="2"/>
      <c r="G7" s="2"/>
    </row>
    <row r="8" ht="15.75" customHeight="1">
      <c r="B8" s="2">
        <v>5.0</v>
      </c>
      <c r="C8" s="2"/>
      <c r="D8" s="2"/>
      <c r="E8" s="2"/>
      <c r="F8" s="2"/>
      <c r="G8" s="2"/>
    </row>
    <row r="9" ht="15.75" customHeight="1">
      <c r="B9" s="2">
        <v>6.0</v>
      </c>
      <c r="C9" s="2"/>
      <c r="D9" s="2"/>
      <c r="E9" s="2"/>
      <c r="F9" s="2"/>
      <c r="G9" s="2"/>
    </row>
    <row r="10" ht="15.75" customHeight="1">
      <c r="B10" s="2">
        <v>7.0</v>
      </c>
      <c r="C10" s="2"/>
      <c r="D10" s="2"/>
      <c r="E10" s="2"/>
      <c r="F10" s="2"/>
      <c r="G10" s="2"/>
    </row>
    <row r="11" ht="15.75" customHeight="1">
      <c r="B11" s="2">
        <v>8.0</v>
      </c>
      <c r="C11" s="2"/>
      <c r="D11" s="2"/>
      <c r="E11" s="2"/>
      <c r="F11" s="2"/>
      <c r="G11" s="2"/>
    </row>
    <row r="12" ht="15.75" customHeight="1">
      <c r="B12" s="2">
        <v>9.0</v>
      </c>
      <c r="C12" s="2"/>
      <c r="D12" s="2"/>
      <c r="E12" s="2"/>
      <c r="F12" s="2"/>
      <c r="G12" s="2"/>
    </row>
    <row r="13" ht="15.75" customHeight="1">
      <c r="B13" s="2">
        <v>10.0</v>
      </c>
      <c r="C13" s="2"/>
      <c r="D13" s="2"/>
      <c r="E13" s="2"/>
      <c r="F13" s="2"/>
      <c r="G13" s="2"/>
    </row>
    <row r="14" ht="15.75" customHeight="1">
      <c r="B14" s="2">
        <v>11.0</v>
      </c>
      <c r="C14" s="2"/>
      <c r="D14" s="2"/>
      <c r="E14" s="2"/>
      <c r="F14" s="2"/>
      <c r="G14" s="2"/>
    </row>
    <row r="15" ht="15.75" customHeight="1">
      <c r="B15" s="2">
        <v>12.0</v>
      </c>
      <c r="C15" s="2"/>
      <c r="D15" s="2"/>
      <c r="E15" s="2"/>
      <c r="F15" s="2"/>
      <c r="G15" s="2"/>
    </row>
    <row r="16" ht="15.75" customHeight="1">
      <c r="B16" s="2">
        <v>13.0</v>
      </c>
      <c r="C16" s="2"/>
      <c r="D16" s="2"/>
      <c r="E16" s="2"/>
      <c r="F16" s="2"/>
      <c r="G16" s="2"/>
    </row>
    <row r="17" ht="15.75" customHeight="1">
      <c r="B17" s="14"/>
      <c r="C17" s="14"/>
      <c r="D17" s="14"/>
      <c r="E17" s="14"/>
      <c r="F17" s="15" t="s">
        <v>31</v>
      </c>
      <c r="G17" s="16"/>
    </row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I3:M3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12" t="s">
        <v>28</v>
      </c>
      <c r="C3" s="12" t="s">
        <v>12</v>
      </c>
      <c r="D3" s="12" t="s">
        <v>8</v>
      </c>
      <c r="E3" s="12" t="s">
        <v>13</v>
      </c>
      <c r="F3" s="12" t="s">
        <v>29</v>
      </c>
      <c r="G3" s="12" t="s">
        <v>14</v>
      </c>
      <c r="I3" s="13" t="s">
        <v>30</v>
      </c>
      <c r="J3" s="8"/>
      <c r="K3" s="8"/>
      <c r="L3" s="8"/>
      <c r="M3" s="9"/>
    </row>
    <row r="4" ht="15.75" customHeight="1">
      <c r="B4" s="2">
        <v>1.0</v>
      </c>
      <c r="C4" s="2">
        <v>1003.0</v>
      </c>
      <c r="D4" s="2">
        <v>4.0</v>
      </c>
      <c r="E4" s="2" t="str">
        <f>VLOOKUP(C4,Sifrarnik,2,FALSE)</f>
        <v>Ražnjići</v>
      </c>
      <c r="F4" s="2">
        <f>VLOOKUP(C4,Sifrarnik,3,FALSE)</f>
        <v>250</v>
      </c>
      <c r="G4" s="2">
        <f t="shared" ref="G4:G16" si="1">F4*D4</f>
        <v>1000</v>
      </c>
      <c r="I4" s="17" t="s">
        <v>32</v>
      </c>
      <c r="J4" s="8"/>
      <c r="K4" s="8"/>
      <c r="L4" s="8"/>
      <c r="M4" s="9"/>
    </row>
    <row r="5" ht="15.75" customHeight="1">
      <c r="B5" s="2">
        <v>2.0</v>
      </c>
      <c r="C5" s="2">
        <v>1007.0</v>
      </c>
      <c r="D5" s="2">
        <v>7.0</v>
      </c>
      <c r="E5" s="2" t="str">
        <f>VLOOKUP(C5,Sifrarnik,2,FALSE)</f>
        <v>Vino 0.5</v>
      </c>
      <c r="F5" s="2">
        <f>VLOOKUP(C5,Sifrarnik,3,FALSE)</f>
        <v>100</v>
      </c>
      <c r="G5" s="2">
        <f t="shared" si="1"/>
        <v>700</v>
      </c>
      <c r="I5" s="18" t="s">
        <v>33</v>
      </c>
      <c r="J5" s="19"/>
      <c r="K5" s="19"/>
      <c r="L5" s="19"/>
      <c r="M5" s="19"/>
    </row>
    <row r="6" ht="15.75" customHeight="1">
      <c r="B6" s="2">
        <v>3.0</v>
      </c>
      <c r="C6" s="2">
        <v>1007.0</v>
      </c>
      <c r="D6" s="2">
        <v>3.0</v>
      </c>
      <c r="E6" s="2" t="str">
        <f>VLOOKUP(C6,Sifrarnik,2,FALSE)</f>
        <v>Vino 0.5</v>
      </c>
      <c r="F6" s="2">
        <f>VLOOKUP(C6,Sifrarnik,3,FALSE)</f>
        <v>100</v>
      </c>
      <c r="G6" s="2">
        <f t="shared" si="1"/>
        <v>300</v>
      </c>
    </row>
    <row r="7" ht="15.75" customHeight="1">
      <c r="B7" s="2">
        <v>4.0</v>
      </c>
      <c r="C7" s="2">
        <v>1001.0</v>
      </c>
      <c r="D7" s="2">
        <v>6.0</v>
      </c>
      <c r="E7" s="2" t="str">
        <f>VLOOKUP(C7,Sifrarnik,2,FALSE)</f>
        <v>Ćevapi</v>
      </c>
      <c r="F7" s="2">
        <f>VLOOKUP(C7,Sifrarnik,3,FALSE)</f>
        <v>300</v>
      </c>
      <c r="G7" s="2">
        <f t="shared" si="1"/>
        <v>1800</v>
      </c>
    </row>
    <row r="8" ht="15.75" customHeight="1">
      <c r="B8" s="2">
        <v>5.0</v>
      </c>
      <c r="C8" s="2">
        <v>1013.0</v>
      </c>
      <c r="D8" s="2">
        <v>7.0</v>
      </c>
      <c r="E8" s="2" t="str">
        <f>VLOOKUP(C8,Sifrarnik,2,FALSE)</f>
        <v>Salata</v>
      </c>
      <c r="F8" s="2">
        <f>VLOOKUP(C8,Sifrarnik,3,FALSE)</f>
        <v>25</v>
      </c>
      <c r="G8" s="2">
        <f t="shared" si="1"/>
        <v>175</v>
      </c>
    </row>
    <row r="9" ht="15.75" customHeight="1">
      <c r="B9" s="2">
        <v>6.0</v>
      </c>
      <c r="C9" s="2">
        <v>1011.0</v>
      </c>
      <c r="D9" s="2">
        <v>8.0</v>
      </c>
      <c r="E9" s="2" t="str">
        <f>VLOOKUP(C9,Sifrarnik,2,FALSE)</f>
        <v>Sladoled</v>
      </c>
      <c r="F9" s="2">
        <f>VLOOKUP(C9,Sifrarnik,3,FALSE)</f>
        <v>40</v>
      </c>
      <c r="G9" s="2">
        <f t="shared" si="1"/>
        <v>320</v>
      </c>
    </row>
    <row r="10" ht="15.75" customHeight="1">
      <c r="B10" s="2">
        <v>7.0</v>
      </c>
      <c r="C10" s="2">
        <v>1012.0</v>
      </c>
      <c r="D10" s="2">
        <v>9.0</v>
      </c>
      <c r="E10" s="2" t="str">
        <f>VLOOKUP(C10,Sifrarnik,2,FALSE)</f>
        <v>Hleb</v>
      </c>
      <c r="F10" s="2">
        <f>VLOOKUP(C10,Sifrarnik,3,FALSE)</f>
        <v>15</v>
      </c>
      <c r="G10" s="2">
        <f t="shared" si="1"/>
        <v>135</v>
      </c>
    </row>
    <row r="11" ht="15.75" customHeight="1">
      <c r="B11" s="2">
        <v>8.0</v>
      </c>
      <c r="C11" s="2">
        <v>1010.0</v>
      </c>
      <c r="D11" s="2">
        <v>7.0</v>
      </c>
      <c r="E11" s="2" t="str">
        <f>VLOOKUP(C11,Sifrarnik,2,FALSE)</f>
        <v>Palačinke</v>
      </c>
      <c r="F11" s="2">
        <f>VLOOKUP(C11,Sifrarnik,3,FALSE)</f>
        <v>52</v>
      </c>
      <c r="G11" s="2">
        <f t="shared" si="1"/>
        <v>364</v>
      </c>
    </row>
    <row r="12" ht="15.75" customHeight="1">
      <c r="B12" s="2">
        <v>9.0</v>
      </c>
      <c r="C12" s="2">
        <v>1004.0</v>
      </c>
      <c r="D12" s="2">
        <v>5.0</v>
      </c>
      <c r="E12" s="2" t="str">
        <f>VLOOKUP(C12,Sifrarnik,2,FALSE)</f>
        <v>Sok 0.25</v>
      </c>
      <c r="F12" s="2">
        <f>VLOOKUP(C12,Sifrarnik,3,FALSE)</f>
        <v>40</v>
      </c>
      <c r="G12" s="2">
        <f t="shared" si="1"/>
        <v>200</v>
      </c>
    </row>
    <row r="13" ht="15.75" customHeight="1">
      <c r="B13" s="2">
        <v>10.0</v>
      </c>
      <c r="C13" s="2">
        <v>1006.0</v>
      </c>
      <c r="D13" s="2">
        <v>2.0</v>
      </c>
      <c r="E13" s="2" t="str">
        <f>VLOOKUP(C13,Sifrarnik,2,FALSE)</f>
        <v>Pivo 0.5</v>
      </c>
      <c r="F13" s="2">
        <f>VLOOKUP(C13,Sifrarnik,3,FALSE)</f>
        <v>50</v>
      </c>
      <c r="G13" s="2">
        <f t="shared" si="1"/>
        <v>100</v>
      </c>
    </row>
    <row r="14" ht="15.75" customHeight="1">
      <c r="B14" s="2">
        <v>11.0</v>
      </c>
      <c r="C14" s="2">
        <v>1012.0</v>
      </c>
      <c r="D14" s="2">
        <v>1.0</v>
      </c>
      <c r="E14" s="2" t="str">
        <f>VLOOKUP(C14,Sifrarnik,2,FALSE)</f>
        <v>Hleb</v>
      </c>
      <c r="F14" s="2">
        <f>VLOOKUP(C14,Sifrarnik,3,FALSE)</f>
        <v>15</v>
      </c>
      <c r="G14" s="2">
        <f t="shared" si="1"/>
        <v>15</v>
      </c>
    </row>
    <row r="15" ht="15.75" customHeight="1">
      <c r="B15" s="2">
        <v>12.0</v>
      </c>
      <c r="C15" s="2">
        <v>1002.0</v>
      </c>
      <c r="D15" s="2">
        <v>6.0</v>
      </c>
      <c r="E15" s="2" t="str">
        <f>VLOOKUP(C15,Sifrarnik,2,FALSE)</f>
        <v>Vešalica</v>
      </c>
      <c r="F15" s="2">
        <f>VLOOKUP(C15,Sifrarnik,3,FALSE)</f>
        <v>225</v>
      </c>
      <c r="G15" s="2">
        <f t="shared" si="1"/>
        <v>1350</v>
      </c>
    </row>
    <row r="16" ht="15.75" customHeight="1">
      <c r="B16" s="2">
        <v>13.0</v>
      </c>
      <c r="C16" s="2">
        <v>1005.0</v>
      </c>
      <c r="D16" s="2">
        <v>8.0</v>
      </c>
      <c r="E16" s="2" t="str">
        <f>VLOOKUP(C16,Sifrarnik,2,FALSE)</f>
        <v>Pivo 0.33</v>
      </c>
      <c r="F16" s="2">
        <f>VLOOKUP(C16,Sifrarnik,3,FALSE)</f>
        <v>55</v>
      </c>
      <c r="G16" s="2">
        <f t="shared" si="1"/>
        <v>440</v>
      </c>
    </row>
    <row r="17" ht="15.75" customHeight="1">
      <c r="B17" s="14"/>
      <c r="C17" s="14"/>
      <c r="D17" s="14"/>
      <c r="E17" s="14"/>
      <c r="F17" s="15" t="s">
        <v>31</v>
      </c>
      <c r="G17" s="16">
        <f>SUM(G4:G16)</f>
        <v>6899</v>
      </c>
    </row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I3:M3"/>
    <mergeCell ref="I4:M4"/>
  </mergeCells>
  <dataValidations>
    <dataValidation type="list" allowBlank="1" showErrorMessage="1" sqref="C4:C16">
      <formula1>'Šifrarnik'!$B$4:$B$16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16.63"/>
    <col customWidth="1" min="3" max="6" width="14.38"/>
    <col customWidth="1" min="7" max="7" width="41.38"/>
    <col customWidth="1" min="8" max="26" width="14.38"/>
  </cols>
  <sheetData>
    <row r="1" ht="15.75" customHeight="1"/>
    <row r="2" ht="15.75" customHeight="1">
      <c r="B2" s="20" t="s">
        <v>34</v>
      </c>
      <c r="C2" s="20" t="s">
        <v>35</v>
      </c>
      <c r="E2" s="21" t="s">
        <v>36</v>
      </c>
      <c r="F2" s="8"/>
      <c r="G2" s="9"/>
    </row>
    <row r="3" ht="15.75" customHeight="1">
      <c r="B3" s="22" t="s">
        <v>37</v>
      </c>
      <c r="C3" s="23">
        <v>15.0</v>
      </c>
    </row>
    <row r="4" ht="15.75" customHeight="1">
      <c r="B4" s="22" t="s">
        <v>38</v>
      </c>
      <c r="C4" s="23">
        <v>15.0</v>
      </c>
    </row>
    <row r="5" ht="15.75" customHeight="1">
      <c r="B5" s="22" t="s">
        <v>39</v>
      </c>
      <c r="C5" s="23">
        <v>17.0</v>
      </c>
    </row>
    <row r="6" ht="15.75" customHeight="1">
      <c r="B6" s="22" t="s">
        <v>40</v>
      </c>
      <c r="C6" s="23">
        <v>15.0</v>
      </c>
    </row>
    <row r="7" ht="15.75" customHeight="1">
      <c r="B7" s="22" t="s">
        <v>41</v>
      </c>
      <c r="C7" s="23">
        <v>17.0</v>
      </c>
      <c r="F7" s="24">
        <f>C8</f>
        <v>79</v>
      </c>
      <c r="G7" s="24">
        <v>23.0</v>
      </c>
      <c r="H7" s="24">
        <v>27.0</v>
      </c>
      <c r="I7" s="24">
        <v>31.0</v>
      </c>
    </row>
    <row r="8" ht="15.75" customHeight="1">
      <c r="B8" s="22" t="s">
        <v>42</v>
      </c>
      <c r="C8" s="23">
        <f>SUM(C3:C7)</f>
        <v>79</v>
      </c>
      <c r="F8" s="24">
        <v>15.0</v>
      </c>
      <c r="G8" s="24">
        <v>85.0</v>
      </c>
      <c r="H8" s="24">
        <v>89.0</v>
      </c>
      <c r="I8" s="24">
        <v>93.0</v>
      </c>
    </row>
    <row r="9" ht="15.75" customHeight="1">
      <c r="B9" s="25"/>
      <c r="C9" s="25"/>
      <c r="F9" s="24">
        <v>17.0</v>
      </c>
      <c r="G9" s="24">
        <v>87.0</v>
      </c>
      <c r="H9" s="24">
        <v>91.0</v>
      </c>
      <c r="I9" s="24">
        <v>95.0</v>
      </c>
    </row>
    <row r="10" ht="81.75" customHeight="1">
      <c r="B10" s="26" t="s">
        <v>43</v>
      </c>
      <c r="C10" s="9"/>
      <c r="F10" s="24">
        <v>19.0</v>
      </c>
      <c r="G10" s="24">
        <v>89.0</v>
      </c>
      <c r="H10" s="24">
        <v>93.0</v>
      </c>
      <c r="I10" s="24">
        <v>97.0</v>
      </c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E2:G2"/>
    <mergeCell ref="B10:C10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outlinePr summaryBelow="0"/>
    <pageSetUpPr/>
  </sheetPr>
  <sheetViews>
    <sheetView showGridLines="0" workbookViewId="0"/>
  </sheetViews>
  <sheetFormatPr customHeight="1" defaultColWidth="12.63" defaultRowHeight="15.0" outlineLevelCol="1" outlineLevelRow="1"/>
  <cols>
    <col customWidth="1" min="1" max="2" width="9.13"/>
    <col customWidth="1" min="3" max="3" width="5.25"/>
    <col customWidth="1" min="4" max="7" width="13.25" outlineLevel="1"/>
    <col customWidth="1" min="8" max="26" width="8.63"/>
  </cols>
  <sheetData>
    <row r="1" ht="12.75" customHeight="1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ht="12.75" customHeight="1">
      <c r="A2" s="27"/>
      <c r="B2" s="28" t="s">
        <v>44</v>
      </c>
      <c r="C2" s="28"/>
      <c r="D2" s="29"/>
      <c r="E2" s="29"/>
      <c r="F2" s="29"/>
      <c r="G2" s="29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ht="12.75" customHeight="1" collapsed="1">
      <c r="A3" s="27"/>
      <c r="B3" s="30"/>
      <c r="C3" s="30"/>
      <c r="D3" s="31" t="s">
        <v>45</v>
      </c>
      <c r="E3" s="31" t="s">
        <v>46</v>
      </c>
      <c r="F3" s="31" t="s">
        <v>47</v>
      </c>
      <c r="G3" s="31" t="s">
        <v>48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ht="12.75" hidden="1" customHeight="1" outlineLevel="1">
      <c r="A4" s="27"/>
      <c r="B4" s="32"/>
      <c r="C4" s="32"/>
      <c r="D4" s="27"/>
      <c r="E4" s="33" t="s">
        <v>49</v>
      </c>
      <c r="F4" s="33" t="s">
        <v>49</v>
      </c>
      <c r="G4" s="33" t="s">
        <v>49</v>
      </c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12.75" customHeight="1">
      <c r="A5" s="27"/>
      <c r="B5" s="34" t="s">
        <v>50</v>
      </c>
      <c r="C5" s="34"/>
      <c r="D5" s="35"/>
      <c r="E5" s="35"/>
      <c r="F5" s="35"/>
      <c r="G5" s="35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12.75" customHeight="1" outlineLevel="1">
      <c r="A6" s="27"/>
      <c r="B6" s="32"/>
      <c r="C6" s="32" t="s">
        <v>51</v>
      </c>
      <c r="D6" s="27">
        <v>22.0</v>
      </c>
      <c r="E6" s="36">
        <v>22.0</v>
      </c>
      <c r="F6" s="36">
        <v>17.0</v>
      </c>
      <c r="G6" s="36">
        <v>9.0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12.75" customHeight="1">
      <c r="A7" s="27"/>
      <c r="B7" s="34" t="s">
        <v>52</v>
      </c>
      <c r="C7" s="34"/>
      <c r="D7" s="35"/>
      <c r="E7" s="35"/>
      <c r="F7" s="35"/>
      <c r="G7" s="35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12.75" customHeight="1" outlineLevel="1">
      <c r="A8" s="27"/>
      <c r="B8" s="37"/>
      <c r="C8" s="37" t="s">
        <v>53</v>
      </c>
      <c r="D8" s="38">
        <v>84.0</v>
      </c>
      <c r="E8" s="38">
        <v>84.0</v>
      </c>
      <c r="F8" s="38">
        <v>79.0</v>
      </c>
      <c r="G8" s="38">
        <v>71.0</v>
      </c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12.75" customHeight="1">
      <c r="A9" s="27"/>
      <c r="B9" s="27" t="s">
        <v>54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12.75" customHeight="1">
      <c r="A10" s="27"/>
      <c r="B10" s="27" t="s">
        <v>55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12.75" customHeight="1">
      <c r="A11" s="27"/>
      <c r="B11" s="27" t="s">
        <v>56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12.75" customHeight="1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12.75" customHeight="1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12.75" customHeight="1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12.75" customHeight="1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12.75" customHeight="1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12.75" customHeight="1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12.75" customHeight="1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12.75" customHeight="1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12.75" customHeight="1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12.75" customHeight="1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12.75" customHeight="1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12.75" customHeight="1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12.75" customHeight="1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12.75" customHeight="1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12.75" customHeight="1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12.75" customHeight="1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12.75" customHeight="1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12.75" customHeight="1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12.75" customHeight="1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12.75" customHeight="1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12.75" customHeight="1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12.75" customHeight="1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12.75" customHeight="1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12.75" customHeight="1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12.75" customHeight="1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12.75" customHeight="1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12.75" customHeight="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12.75" customHeight="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12.75" customHeight="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12.75" customHeight="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12.75" customHeight="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12.75" customHeight="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12.75" customHeight="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12.75" customHeight="1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12.75" customHeight="1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12.75" customHeight="1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12.75" customHeight="1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12.75" customHeight="1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12.75" customHeight="1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12.75" customHeight="1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12.75" customHeight="1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12.75" customHeight="1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12.75" customHeight="1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12.75" customHeight="1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12.75" customHeight="1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12.75" customHeight="1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12.75" customHeight="1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12.75" customHeight="1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12.75" customHeight="1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12.75" customHeight="1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12.75" customHeight="1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12.75" customHeight="1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12.75" customHeight="1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12.75" customHeight="1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12.75" customHeight="1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12.75" customHeight="1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12.75" customHeight="1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12.75" customHeight="1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12.75" customHeight="1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12.75" customHeight="1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12.75" customHeight="1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12.75" customHeight="1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12.75" customHeight="1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12.75" customHeight="1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12.75" customHeight="1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12.75" customHeight="1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12.75" customHeight="1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12.75" customHeight="1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12.75" customHeight="1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12.75" customHeight="1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12.75" customHeight="1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12.75" customHeight="1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12.75" customHeight="1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12.75" customHeight="1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12.75" customHeight="1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12.75" customHeight="1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12.75" customHeight="1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12.75" customHeight="1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12.75" customHeight="1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12.75" customHeight="1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12.75" customHeight="1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12.75" customHeight="1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12.75" customHeight="1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12.75" customHeight="1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12.75" customHeight="1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12.75" customHeight="1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12.75" customHeight="1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12.75" customHeight="1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12.75" customHeight="1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12.75" customHeight="1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12.75" customHeight="1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12.75" customHeight="1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12.75" customHeight="1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12.75" customHeight="1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12.75" customHeight="1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12.75" customHeight="1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12.75" customHeight="1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12.75" customHeight="1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12.75" customHeight="1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12.75" customHeight="1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12.75" customHeight="1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12.75" customHeight="1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12.75" customHeight="1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12.75" customHeight="1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12.75" customHeight="1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12.75" customHeight="1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12.75" customHeight="1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12.75" customHeight="1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12.75" customHeight="1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12.75" customHeight="1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12.75" customHeight="1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12.75" customHeight="1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12.75" customHeight="1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12.75" customHeight="1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12.75" customHeight="1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12.75" customHeight="1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12.75" customHeight="1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12.75" customHeight="1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12.75" customHeight="1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12.75" customHeight="1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12.75" customHeight="1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12.75" customHeight="1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12.75" customHeight="1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12.75" customHeight="1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12.75" customHeight="1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12.75" customHeight="1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12.75" customHeight="1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12.75" customHeight="1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12.75" customHeight="1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12.75" customHeight="1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12.75" customHeight="1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12.75" customHeight="1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12.75" customHeight="1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12.75" customHeight="1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12.75" customHeight="1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12.75" customHeight="1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12.75" customHeight="1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12.75" customHeight="1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12.75" customHeight="1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12.75" customHeight="1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12.75" customHeight="1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12.75" customHeight="1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12.75" customHeight="1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12.75" customHeight="1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12.75" customHeight="1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12.75" customHeight="1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12.75" customHeight="1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12.75" customHeight="1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12.75" customHeight="1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12.75" customHeight="1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12.75" customHeight="1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12.75" customHeight="1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12.75" customHeight="1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12.75" customHeight="1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12.75" customHeight="1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12.75" customHeight="1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12.75" customHeight="1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12.75" customHeight="1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12.75" customHeight="1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12.75" customHeight="1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12.75" customHeight="1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12.75" customHeight="1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12.75" customHeight="1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12.75" customHeight="1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12.75" customHeight="1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12.75" customHeight="1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12.75" customHeight="1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12.75" customHeight="1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12.75" customHeight="1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12.75" customHeight="1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12.75" customHeight="1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12.75" customHeight="1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12.75" customHeight="1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12.75" customHeight="1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12.75" customHeight="1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12.75" customHeight="1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12.75" customHeight="1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12.75" customHeight="1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12.75" customHeight="1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12.75" customHeight="1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12.75" customHeight="1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12.75" customHeight="1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12.75" customHeight="1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12.75" customHeight="1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12.75" customHeight="1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12.75" customHeight="1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12.75" customHeight="1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12.75" customHeight="1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12.75" customHeight="1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12.75" customHeight="1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12.75" customHeight="1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12.75" customHeight="1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12.75" customHeight="1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12.75" customHeight="1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12.75" customHeight="1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12.75" customHeight="1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12.75" customHeight="1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12.75" customHeight="1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12.75" customHeight="1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12.75" customHeight="1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12.75" customHeight="1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12.75" customHeight="1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12.75" customHeight="1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12.75" customHeight="1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12.75" customHeight="1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12.75" customHeight="1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12.75" customHeight="1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12.75" customHeight="1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12.75" customHeight="1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12.75" customHeight="1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12.75" customHeight="1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12.75" customHeight="1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12.75" customHeight="1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12.75" customHeight="1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12.75" customHeight="1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12.75" customHeight="1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12.75" customHeight="1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12.75" customHeight="1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12.75" customHeight="1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12.75" customHeight="1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12.75" customHeight="1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12.75" customHeight="1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12.75" customHeight="1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12.75" customHeight="1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12.75" customHeight="1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12.75" customHeight="1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12.75" customHeight="1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12.75" customHeight="1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12.75" customHeight="1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12.75" customHeight="1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12.75" customHeight="1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12.75" customHeight="1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12.75" customHeight="1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12.75" customHeight="1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12.75" customHeight="1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12.75" customHeight="1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12.75" customHeight="1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12.75" customHeight="1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12.75" customHeight="1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12.75" customHeight="1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12.75" customHeight="1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12.75" customHeight="1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12.75" customHeight="1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12.75" customHeight="1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12.75" customHeight="1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12.75" customHeight="1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12.75" customHeight="1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12.75" customHeight="1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12.75" customHeight="1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12.75" customHeight="1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12.75" customHeight="1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12.75" customHeight="1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12.75" customHeight="1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12.75" customHeight="1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12.75" customHeight="1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12.75" customHeight="1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12.75" customHeight="1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12.75" customHeight="1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12.75" customHeight="1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12.75" customHeight="1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12.75" customHeight="1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12.75" customHeight="1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12.75" customHeight="1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12.75" customHeight="1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12.75" customHeight="1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12.75" customHeight="1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12.75" customHeight="1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12.75" customHeight="1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12.75" customHeight="1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12.75" customHeight="1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12.75" customHeight="1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12.75" customHeight="1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12.75" customHeight="1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12.75" customHeight="1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12.75" customHeight="1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12.75" customHeight="1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12.75" customHeight="1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12.75" customHeight="1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12.75" customHeight="1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12.75" customHeight="1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12.75" customHeight="1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12.75" customHeight="1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12.75" customHeight="1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12.75" customHeight="1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12.75" customHeight="1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12.75" customHeight="1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12.75" customHeight="1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12.75" customHeight="1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12.75" customHeight="1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12.75" customHeight="1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12.75" customHeight="1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12.75" customHeight="1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12.75" customHeight="1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12.75" customHeight="1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12.75" customHeight="1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12.75" customHeight="1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12.75" customHeight="1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12.75" customHeight="1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12.75" customHeight="1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12.75" customHeight="1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12.75" customHeight="1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12.75" customHeight="1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12.75" customHeight="1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12.75" customHeight="1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12.75" customHeight="1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12.75" customHeight="1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12.75" customHeight="1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12.75" customHeight="1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12.75" customHeight="1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12.75" customHeight="1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12.75" customHeight="1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12.75" customHeight="1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12.75" customHeight="1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12.75" customHeight="1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12.75" customHeight="1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12.75" customHeight="1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12.75" customHeight="1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12.75" customHeight="1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12.75" customHeight="1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12.75" customHeight="1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12.75" customHeight="1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12.75" customHeight="1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12.75" customHeight="1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12.75" customHeight="1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12.75" customHeight="1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12.75" customHeight="1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12.75" customHeight="1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12.75" customHeight="1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12.75" customHeight="1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12.75" customHeight="1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12.75" customHeight="1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12.75" customHeight="1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12.75" customHeight="1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12.75" customHeight="1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12.75" customHeight="1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12.75" customHeight="1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12.75" customHeight="1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12.75" customHeight="1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12.75" customHeight="1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12.75" customHeight="1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12.75" customHeight="1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12.75" customHeight="1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12.75" customHeight="1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12.75" customHeight="1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12.75" customHeight="1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12.75" customHeight="1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12.75" customHeight="1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12.75" customHeight="1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12.75" customHeight="1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12.75" customHeight="1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12.75" customHeight="1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12.75" customHeight="1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12.75" customHeight="1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12.75" customHeight="1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12.75" customHeight="1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12.75" customHeight="1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12.75" customHeight="1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12.75" customHeight="1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12.75" customHeight="1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12.75" customHeight="1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12.75" customHeight="1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12.75" customHeight="1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12.75" customHeight="1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12.75" customHeight="1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12.75" customHeight="1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12.75" customHeight="1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12.75" customHeight="1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12.75" customHeight="1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12.75" customHeight="1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12.75" customHeight="1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12.75" customHeight="1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12.75" customHeight="1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12.75" customHeight="1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12.75" customHeight="1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12.75" customHeight="1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12.75" customHeight="1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12.75" customHeight="1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12.75" customHeight="1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12.75" customHeight="1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12.75" customHeight="1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12.75" customHeight="1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12.75" customHeight="1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12.75" customHeight="1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12.75" customHeight="1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12.75" customHeight="1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12.75" customHeight="1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12.75" customHeight="1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12.75" customHeight="1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12.75" customHeight="1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12.75" customHeight="1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12.75" customHeight="1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12.75" customHeight="1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12.75" customHeight="1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12.75" customHeight="1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12.75" customHeight="1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12.75" customHeight="1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12.75" customHeight="1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12.75" customHeight="1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12.75" customHeight="1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12.75" customHeight="1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12.75" customHeight="1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12.75" customHeight="1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12.75" customHeight="1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12.75" customHeight="1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12.75" customHeight="1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12.75" customHeight="1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12.75" customHeight="1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12.75" customHeight="1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12.75" customHeight="1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12.75" customHeight="1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12.75" customHeight="1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12.75" customHeight="1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12.75" customHeight="1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12.75" customHeight="1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12.75" customHeight="1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12.75" customHeight="1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12.75" customHeight="1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12.75" customHeight="1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12.75" customHeight="1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12.75" customHeight="1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12.75" customHeight="1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12.75" customHeight="1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12.75" customHeight="1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12.75" customHeight="1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12.75" customHeight="1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12.75" customHeight="1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12.75" customHeight="1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12.75" customHeight="1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12.75" customHeight="1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12.75" customHeight="1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12.75" customHeight="1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12.75" customHeight="1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12.75" customHeight="1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12.75" customHeight="1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12.75" customHeight="1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12.75" customHeight="1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12.75" customHeight="1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12.75" customHeight="1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12.75" customHeight="1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12.75" customHeight="1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12.75" customHeight="1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12.75" customHeight="1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12.75" customHeight="1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12.75" customHeight="1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12.75" customHeight="1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12.75" customHeight="1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12.75" customHeight="1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12.75" customHeight="1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12.75" customHeight="1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12.75" customHeight="1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12.75" customHeight="1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12.75" customHeight="1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12.75" customHeight="1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12.75" customHeight="1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12.75" customHeight="1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12.75" customHeight="1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12.75" customHeight="1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12.75" customHeight="1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12.75" customHeight="1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12.75" customHeight="1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12.75" customHeight="1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12.75" customHeight="1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12.75" customHeight="1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12.75" customHeight="1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12.75" customHeight="1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12.75" customHeight="1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12.75" customHeight="1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12.75" customHeight="1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12.75" customHeight="1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12.75" customHeight="1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12.75" customHeight="1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12.75" customHeight="1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12.75" customHeight="1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12.75" customHeight="1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12.75" customHeight="1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12.75" customHeight="1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12.75" customHeight="1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12.75" customHeight="1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12.75" customHeight="1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12.75" customHeight="1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12.75" customHeight="1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12.75" customHeight="1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12.75" customHeight="1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12.75" customHeight="1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12.75" customHeight="1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12.75" customHeight="1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12.75" customHeight="1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12.75" customHeight="1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12.75" customHeight="1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12.75" customHeight="1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12.75" customHeight="1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12.75" customHeight="1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12.75" customHeight="1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12.75" customHeight="1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12.75" customHeight="1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12.75" customHeight="1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12.75" customHeight="1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12.75" customHeight="1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12.75" customHeight="1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12.75" customHeight="1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12.75" customHeight="1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12.75" customHeight="1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12.75" customHeight="1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12.75" customHeight="1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12.75" customHeight="1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12.75" customHeight="1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12.75" customHeight="1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12.75" customHeight="1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12.75" customHeight="1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12.75" customHeight="1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12.75" customHeight="1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12.75" customHeight="1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12.75" customHeight="1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12.75" customHeight="1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12.75" customHeight="1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12.75" customHeight="1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12.75" customHeight="1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12.75" customHeight="1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12.75" customHeight="1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12.75" customHeight="1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12.75" customHeight="1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12.75" customHeight="1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12.75" customHeight="1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12.75" customHeight="1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12.75" customHeight="1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12.75" customHeight="1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12.75" customHeight="1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12.75" customHeight="1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12.75" customHeight="1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12.75" customHeight="1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12.75" customHeight="1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12.75" customHeight="1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12.75" customHeight="1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12.75" customHeight="1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12.75" customHeight="1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12.75" customHeight="1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12.75" customHeight="1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12.75" customHeight="1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12.75" customHeight="1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12.75" customHeight="1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12.75" customHeight="1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12.75" customHeight="1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12.75" customHeight="1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12.75" customHeight="1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12.75" customHeight="1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12.75" customHeight="1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12.75" customHeight="1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12.75" customHeight="1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12.75" customHeight="1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12.75" customHeight="1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12.75" customHeight="1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12.75" customHeight="1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12.75" customHeight="1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12.75" customHeight="1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12.75" customHeight="1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12.75" customHeight="1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12.75" customHeight="1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12.75" customHeight="1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12.75" customHeight="1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12.75" customHeight="1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12.75" customHeight="1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12.75" customHeight="1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12.75" customHeight="1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12.75" customHeight="1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12.75" customHeight="1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12.75" customHeight="1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12.75" customHeight="1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12.75" customHeight="1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12.75" customHeight="1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12.75" customHeight="1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12.75" customHeight="1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12.75" customHeight="1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12.75" customHeight="1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12.75" customHeight="1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12.75" customHeight="1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12.75" customHeight="1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12.75" customHeight="1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12.75" customHeight="1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12.75" customHeight="1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12.75" customHeight="1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12.75" customHeight="1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12.75" customHeight="1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12.75" customHeight="1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12.75" customHeight="1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12.75" customHeight="1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12.75" customHeight="1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12.75" customHeight="1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12.75" customHeight="1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12.75" customHeight="1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12.75" customHeight="1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12.75" customHeight="1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12.75" customHeight="1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12.75" customHeight="1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12.75" customHeight="1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12.75" customHeight="1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12.75" customHeight="1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12.75" customHeight="1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12.75" customHeight="1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12.75" customHeight="1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12.75" customHeight="1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12.75" customHeight="1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12.75" customHeight="1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12.75" customHeight="1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12.75" customHeight="1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12.75" customHeight="1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12.75" customHeight="1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12.75" customHeight="1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12.75" customHeight="1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12.75" customHeight="1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12.75" customHeight="1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12.75" customHeight="1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12.75" customHeight="1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12.75" customHeight="1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12.75" customHeight="1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12.75" customHeight="1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12.75" customHeight="1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12.75" customHeight="1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12.75" customHeight="1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12.75" customHeight="1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12.75" customHeight="1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12.75" customHeight="1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12.75" customHeight="1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12.75" customHeight="1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12.75" customHeight="1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12.75" customHeight="1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12.75" customHeight="1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12.75" customHeight="1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12.75" customHeight="1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12.75" customHeight="1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12.75" customHeight="1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12.75" customHeight="1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12.75" customHeight="1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12.75" customHeight="1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12.75" customHeight="1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12.75" customHeight="1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12.75" customHeight="1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12.75" customHeight="1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12.75" customHeight="1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12.75" customHeight="1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12.75" customHeight="1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12.75" customHeight="1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12.75" customHeight="1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12.75" customHeight="1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12.75" customHeight="1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12.75" customHeight="1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12.75" customHeight="1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12.75" customHeight="1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12.75" customHeight="1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12.75" customHeight="1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12.75" customHeight="1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12.75" customHeight="1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12.75" customHeight="1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12.75" customHeight="1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12.75" customHeight="1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12.75" customHeight="1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12.75" customHeight="1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12.75" customHeight="1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12.75" customHeight="1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12.75" customHeight="1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12.75" customHeight="1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12.75" customHeight="1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12.75" customHeight="1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12.75" customHeight="1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12.75" customHeight="1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12.75" customHeight="1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12.75" customHeight="1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12.75" customHeight="1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12.75" customHeight="1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12.75" customHeight="1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12.75" customHeight="1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12.75" customHeight="1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12.75" customHeight="1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12.75" customHeight="1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12.75" customHeight="1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12.75" customHeight="1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12.75" customHeight="1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12.75" customHeight="1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12.75" customHeight="1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12.75" customHeight="1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12.75" customHeight="1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12.75" customHeight="1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12.75" customHeight="1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12.75" customHeight="1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12.75" customHeight="1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12.75" customHeight="1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12.75" customHeight="1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12.75" customHeight="1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12.75" customHeight="1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12.75" customHeight="1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12.75" customHeight="1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12.75" customHeight="1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12.75" customHeight="1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12.75" customHeight="1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12.75" customHeight="1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12.75" customHeight="1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12.75" customHeight="1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12.75" customHeight="1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12.75" customHeight="1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12.75" customHeight="1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12.75" customHeight="1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12.75" customHeight="1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12.75" customHeight="1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12.75" customHeight="1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12.75" customHeight="1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12.75" customHeight="1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12.75" customHeight="1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12.75" customHeight="1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12.75" customHeight="1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12.75" customHeight="1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12.75" customHeight="1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12.75" customHeight="1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12.75" customHeight="1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12.75" customHeight="1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12.75" customHeight="1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12.75" customHeight="1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12.75" customHeight="1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12.75" customHeight="1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12.75" customHeight="1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12.75" customHeight="1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12.75" customHeight="1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12.75" customHeight="1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12.75" customHeight="1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12.75" customHeight="1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12.75" customHeight="1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12.75" customHeight="1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12.75" customHeight="1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12.75" customHeight="1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12.75" customHeight="1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12.75" customHeight="1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12.75" customHeight="1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12.75" customHeight="1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12.75" customHeight="1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12.75" customHeight="1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12.75" customHeight="1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12.75" customHeight="1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12.75" customHeight="1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12.75" customHeight="1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12.75" customHeight="1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12.75" customHeight="1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12.75" customHeight="1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12.75" customHeight="1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12.75" customHeight="1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12.75" customHeight="1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12.75" customHeight="1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12.75" customHeight="1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12.75" customHeight="1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12.75" customHeight="1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12.75" customHeight="1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12.75" customHeight="1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12.75" customHeight="1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12.75" customHeight="1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12.75" customHeight="1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12.75" customHeight="1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12.75" customHeight="1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12.75" customHeight="1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12.75" customHeight="1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12.75" customHeight="1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12.75" customHeight="1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12.75" customHeight="1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12.75" customHeight="1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12.75" customHeight="1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12.75" customHeight="1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12.75" customHeight="1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12.75" customHeight="1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12.75" customHeight="1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12.75" customHeight="1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12.75" customHeight="1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12.75" customHeight="1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12.75" customHeight="1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12.75" customHeight="1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12.75" customHeight="1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12.75" customHeight="1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12.75" customHeight="1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12.75" customHeight="1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12.75" customHeight="1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12.75" customHeight="1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12.75" customHeight="1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12.75" customHeight="1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12.75" customHeight="1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12.75" customHeight="1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12.75" customHeight="1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12.75" customHeight="1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12.75" customHeight="1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12.75" customHeight="1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12.75" customHeight="1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12.75" customHeight="1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12.75" customHeight="1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12.75" customHeight="1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12.75" customHeight="1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12.75" customHeight="1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12.75" customHeight="1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12.75" customHeight="1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12.75" customHeight="1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12.75" customHeight="1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12.75" customHeight="1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12.75" customHeight="1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12.75" customHeight="1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12.75" customHeight="1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12.75" customHeight="1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12.75" customHeight="1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12.75" customHeight="1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12.75" customHeight="1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12.75" customHeight="1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12.75" customHeight="1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12.75" customHeight="1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12.75" customHeight="1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12.75" customHeight="1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12.75" customHeight="1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12.75" customHeight="1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12.75" customHeight="1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12.75" customHeight="1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12.75" customHeight="1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12.75" customHeight="1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12.75" customHeight="1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12.75" customHeight="1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12.75" customHeight="1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12.75" customHeight="1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12.75" customHeight="1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12.75" customHeight="1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12.75" customHeight="1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12.75" customHeight="1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12.75" customHeight="1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12.75" customHeight="1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12.75" customHeight="1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12.75" customHeight="1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12.75" customHeight="1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12.75" customHeight="1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12.75" customHeight="1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12.75" customHeight="1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12.75" customHeight="1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12.75" customHeight="1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12.75" customHeight="1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12.75" customHeight="1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12.75" customHeight="1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12.75" customHeight="1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12.75" customHeight="1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12.75" customHeight="1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12.75" customHeight="1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12.75" customHeight="1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12.75" customHeight="1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12.75" customHeight="1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12.75" customHeight="1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12.75" customHeight="1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12.75" customHeight="1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12.75" customHeight="1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12.75" customHeight="1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12.75" customHeight="1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12.75" customHeight="1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12.75" customHeight="1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12.75" customHeight="1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12.75" customHeight="1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12.75" customHeight="1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12.75" customHeight="1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12.75" customHeight="1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12.75" customHeight="1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12.75" customHeight="1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12.75" customHeight="1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12.75" customHeight="1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12.75" customHeight="1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12.75" customHeight="1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12.75" customHeight="1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12.75" customHeight="1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12.75" customHeight="1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12.75" customHeight="1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12.75" customHeight="1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12.75" customHeight="1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12.75" customHeight="1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12.75" customHeight="1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12.75" customHeight="1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12.75" customHeight="1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12.75" customHeight="1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12.75" customHeight="1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12.75" customHeight="1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12.75" customHeight="1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12.75" customHeight="1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12.75" customHeight="1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12.75" customHeight="1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12.75" customHeight="1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12.75" customHeight="1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12.75" customHeight="1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12.75" customHeight="1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12.75" customHeight="1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12.75" customHeight="1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12.75" customHeight="1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12.75" customHeight="1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12.75" customHeight="1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12.75" customHeight="1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12.75" customHeight="1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12.75" customHeight="1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12.75" customHeight="1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12.75" customHeight="1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12.75" customHeight="1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12.75" customHeight="1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12.75" customHeight="1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12.75" customHeight="1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12.75" customHeight="1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12.75" customHeight="1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12.75" customHeight="1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12.75" customHeight="1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12.75" customHeight="1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12.75" customHeight="1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12.75" customHeight="1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12.75" customHeight="1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12.75" customHeight="1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12.75" customHeight="1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12.75" customHeight="1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12.75" customHeight="1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12.75" customHeight="1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12.75" customHeight="1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12.75" customHeight="1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12.75" customHeight="1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12.75" customHeight="1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12.75" customHeight="1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12.75" customHeight="1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12.75" customHeight="1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12.75" customHeight="1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12.75" customHeight="1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12.75" customHeight="1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12.75" customHeight="1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12.75" customHeight="1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12.75" customHeight="1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12.75" customHeight="1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12.75" customHeight="1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12.75" customHeight="1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12.75" customHeight="1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12.75" customHeight="1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12.75" customHeight="1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12.75" customHeight="1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12.75" customHeight="1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12.75" customHeight="1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12.75" customHeight="1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12.75" customHeight="1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12.75" customHeight="1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12.75" customHeight="1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12.75" customHeight="1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12.75" customHeight="1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12.75" customHeight="1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12.75" customHeight="1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12.75" customHeight="1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12.75" customHeight="1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12.75" customHeight="1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12.75" customHeight="1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12.75" customHeight="1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12.75" customHeight="1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12.75" customHeight="1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12.75" customHeight="1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12.75" customHeight="1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12.75" customHeight="1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12.75" customHeight="1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12.75" customHeight="1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12.75" customHeight="1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12.75" customHeight="1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12.75" customHeight="1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12.75" customHeight="1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12.75" customHeight="1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12.75" customHeight="1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12.75" customHeight="1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12.75" customHeight="1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12.75" customHeight="1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12.75" customHeight="1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12.75" customHeight="1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12.75" customHeight="1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12.75" customHeight="1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12.75" customHeight="1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12.75" customHeight="1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12.75" customHeight="1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12.75" customHeight="1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12.75" customHeight="1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12.75" customHeight="1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12.75" customHeight="1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12.75" customHeight="1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12.75" customHeight="1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12.75" customHeight="1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12.75" customHeight="1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12.75" customHeight="1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12.75" customHeight="1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12.75" customHeight="1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12.75" customHeight="1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12.75" customHeight="1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12.75" customHeight="1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12.75" customHeight="1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12.75" customHeight="1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12.75" customHeight="1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12.75" customHeight="1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12.75" customHeight="1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12.75" customHeight="1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12.75" customHeight="1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12.75" customHeight="1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ht="12.75" customHeight="1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24.25"/>
    <col customWidth="1" min="3" max="4" width="14.38"/>
    <col customWidth="1" min="5" max="5" width="23.63"/>
    <col customWidth="1" min="6" max="26" width="14.38"/>
  </cols>
  <sheetData>
    <row r="1" ht="15.75" customHeight="1"/>
    <row r="2" ht="15.75" customHeight="1"/>
    <row r="3" ht="15.75" customHeight="1">
      <c r="B3" s="39" t="s">
        <v>57</v>
      </c>
      <c r="C3" s="9"/>
      <c r="D3" s="25"/>
      <c r="E3" s="39" t="s">
        <v>57</v>
      </c>
      <c r="F3" s="9"/>
    </row>
    <row r="4" ht="15.75" customHeight="1">
      <c r="B4" s="22" t="s">
        <v>58</v>
      </c>
      <c r="C4" s="40">
        <v>23000.0</v>
      </c>
      <c r="D4" s="25"/>
      <c r="E4" s="22" t="s">
        <v>58</v>
      </c>
      <c r="F4" s="40">
        <v>23000.0</v>
      </c>
    </row>
    <row r="5" ht="15.75" customHeight="1">
      <c r="B5" s="22" t="s">
        <v>59</v>
      </c>
      <c r="C5" s="40">
        <v>1000.0</v>
      </c>
      <c r="D5" s="25"/>
      <c r="E5" s="22" t="s">
        <v>59</v>
      </c>
      <c r="F5" s="40">
        <v>1000.0</v>
      </c>
    </row>
    <row r="6" ht="15.75" customHeight="1">
      <c r="B6" s="22" t="s">
        <v>60</v>
      </c>
      <c r="C6" s="23">
        <v>27.0</v>
      </c>
      <c r="D6" s="25"/>
      <c r="E6" s="22" t="s">
        <v>60</v>
      </c>
      <c r="F6" s="23">
        <v>150.0</v>
      </c>
    </row>
    <row r="7" ht="15.75" customHeight="1">
      <c r="B7" s="22" t="s">
        <v>61</v>
      </c>
      <c r="C7" s="40">
        <f>C4+C5*C6</f>
        <v>50000</v>
      </c>
      <c r="D7" s="25"/>
      <c r="E7" s="22" t="s">
        <v>61</v>
      </c>
      <c r="F7" s="40">
        <f>F4+F5*F6</f>
        <v>173000</v>
      </c>
    </row>
    <row r="8" ht="15.75" customHeight="1">
      <c r="B8" s="25"/>
      <c r="C8" s="25"/>
      <c r="D8" s="25"/>
      <c r="E8" s="25"/>
      <c r="F8" s="25"/>
    </row>
    <row r="9" ht="45.75" customHeight="1">
      <c r="B9" s="41" t="s">
        <v>62</v>
      </c>
      <c r="C9" s="9"/>
      <c r="D9" s="25"/>
      <c r="E9" s="41" t="s">
        <v>63</v>
      </c>
      <c r="F9" s="9"/>
    </row>
    <row r="10" ht="15.75" customHeight="1"/>
    <row r="11" ht="36.0" customHeight="1">
      <c r="B11" s="42" t="s">
        <v>64</v>
      </c>
      <c r="C11" s="8"/>
      <c r="D11" s="8"/>
      <c r="E11" s="8"/>
      <c r="F11" s="9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B3:C3"/>
    <mergeCell ref="E3:F3"/>
    <mergeCell ref="B9:C9"/>
    <mergeCell ref="E9:F9"/>
    <mergeCell ref="B11:F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18.38"/>
    <col customWidth="1" min="3" max="26" width="14.38"/>
  </cols>
  <sheetData>
    <row r="1" ht="15.75" customHeight="1"/>
    <row r="2" ht="15.75" customHeight="1"/>
    <row r="3" ht="15.75" customHeight="1">
      <c r="B3" s="12" t="s">
        <v>65</v>
      </c>
      <c r="C3" s="12" t="s">
        <v>66</v>
      </c>
    </row>
    <row r="4" ht="15.75" customHeight="1">
      <c r="B4" s="43" t="s">
        <v>67</v>
      </c>
      <c r="C4" s="44">
        <v>157274.0</v>
      </c>
    </row>
    <row r="5" ht="15.75" customHeight="1">
      <c r="B5" s="43" t="s">
        <v>68</v>
      </c>
      <c r="C5" s="44">
        <v>187349.0</v>
      </c>
    </row>
    <row r="6" ht="15.75" customHeight="1">
      <c r="B6" s="43" t="s">
        <v>69</v>
      </c>
      <c r="C6" s="44">
        <v>179291.0</v>
      </c>
    </row>
    <row r="7" ht="15.75" customHeight="1">
      <c r="B7" s="43" t="s">
        <v>70</v>
      </c>
      <c r="C7" s="44">
        <v>202025.0</v>
      </c>
    </row>
    <row r="8" ht="15.75" customHeight="1">
      <c r="B8" s="43" t="s">
        <v>71</v>
      </c>
      <c r="C8" s="44">
        <v>212685.0</v>
      </c>
    </row>
    <row r="9" ht="15.75" customHeight="1">
      <c r="B9" s="43" t="s">
        <v>72</v>
      </c>
      <c r="C9" s="44">
        <v>261375.99999999988</v>
      </c>
    </row>
    <row r="10" ht="15.75" customHeight="1">
      <c r="B10" s="45" t="s">
        <v>73</v>
      </c>
      <c r="C10" s="46">
        <f>AVERAGE(C4:C9)</f>
        <v>200000</v>
      </c>
    </row>
    <row r="11" ht="15.75" customHeight="1">
      <c r="B11" s="25"/>
      <c r="C11" s="25"/>
    </row>
    <row r="12" ht="15.75" customHeight="1">
      <c r="B12" s="25"/>
      <c r="C12" s="25"/>
    </row>
    <row r="13" ht="49.5" customHeight="1">
      <c r="B13" s="47" t="s">
        <v>74</v>
      </c>
      <c r="C13" s="9"/>
    </row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3:C13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28.88"/>
    <col customWidth="1" min="3" max="26" width="14.38"/>
  </cols>
  <sheetData>
    <row r="1" ht="15.75" customHeight="1"/>
    <row r="2" ht="15.75" customHeight="1"/>
    <row r="3" ht="15.75" customHeight="1">
      <c r="B3" s="48" t="s">
        <v>75</v>
      </c>
      <c r="C3" s="2">
        <v>1500.0</v>
      </c>
    </row>
    <row r="4" ht="15.75" customHeight="1">
      <c r="B4" s="48" t="s">
        <v>76</v>
      </c>
      <c r="C4" s="2">
        <v>30.0</v>
      </c>
    </row>
    <row r="5" ht="15.75" customHeight="1">
      <c r="B5" s="48" t="s">
        <v>77</v>
      </c>
      <c r="C5" s="2">
        <v>15.0</v>
      </c>
    </row>
    <row r="6" ht="15.75" customHeight="1">
      <c r="B6" s="48" t="s">
        <v>78</v>
      </c>
      <c r="C6" s="2">
        <f>C3-C4*C5</f>
        <v>1050</v>
      </c>
    </row>
    <row r="7" ht="15.75" customHeight="1">
      <c r="B7" s="25"/>
      <c r="C7" s="25"/>
    </row>
    <row r="8" ht="15.75" customHeight="1">
      <c r="B8" s="25"/>
      <c r="C8" s="25"/>
    </row>
    <row r="9" ht="48.0" customHeight="1">
      <c r="B9" s="49" t="s">
        <v>79</v>
      </c>
      <c r="C9" s="9"/>
    </row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9:C9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outlinePr summaryBelow="0"/>
    <pageSetUpPr/>
  </sheetPr>
  <sheetViews>
    <sheetView showGridLines="0" workbookViewId="0"/>
  </sheetViews>
  <sheetFormatPr customHeight="1" defaultColWidth="12.63" defaultRowHeight="15.0" outlineLevelCol="1" outlineLevelRow="1"/>
  <cols>
    <col customWidth="1" min="1" max="2" width="8.63"/>
    <col customWidth="1" min="3" max="3" width="5.25"/>
    <col customWidth="1" min="4" max="8" width="13.25" outlineLevel="1"/>
    <col customWidth="1" min="9" max="26" width="8.63"/>
  </cols>
  <sheetData>
    <row r="1" ht="12.75" customHeight="1"/>
    <row r="2" ht="12.75" customHeight="1">
      <c r="B2" s="28" t="s">
        <v>44</v>
      </c>
      <c r="C2" s="28"/>
      <c r="D2" s="29"/>
      <c r="E2" s="29"/>
      <c r="F2" s="29"/>
      <c r="G2" s="29"/>
      <c r="H2" s="29"/>
    </row>
    <row r="3" ht="12.75" customHeight="1" collapsed="1">
      <c r="B3" s="30"/>
      <c r="C3" s="30"/>
      <c r="D3" s="31" t="s">
        <v>45</v>
      </c>
      <c r="E3" s="31" t="s">
        <v>80</v>
      </c>
      <c r="F3" s="31" t="s">
        <v>81</v>
      </c>
      <c r="G3" s="31" t="s">
        <v>82</v>
      </c>
      <c r="H3" s="31" t="s">
        <v>83</v>
      </c>
    </row>
    <row r="4" ht="12.75" hidden="1" customHeight="1" outlineLevel="1">
      <c r="B4" s="32"/>
      <c r="C4" s="32"/>
      <c r="D4" s="27"/>
      <c r="E4" s="33" t="s">
        <v>49</v>
      </c>
      <c r="F4" s="33" t="s">
        <v>49</v>
      </c>
      <c r="G4" s="33" t="s">
        <v>49</v>
      </c>
      <c r="H4" s="33" t="s">
        <v>49</v>
      </c>
    </row>
    <row r="5" ht="12.75" customHeight="1">
      <c r="B5" s="34" t="s">
        <v>50</v>
      </c>
      <c r="C5" s="34"/>
      <c r="D5" s="35"/>
      <c r="E5" s="35"/>
      <c r="F5" s="35"/>
      <c r="G5" s="35"/>
      <c r="H5" s="35"/>
    </row>
    <row r="6" ht="12.75" customHeight="1" outlineLevel="1">
      <c r="B6" s="32"/>
      <c r="C6" s="32" t="s">
        <v>84</v>
      </c>
      <c r="D6" s="27">
        <v>30.0</v>
      </c>
      <c r="E6" s="36">
        <v>40.0</v>
      </c>
      <c r="F6" s="36">
        <v>50.0</v>
      </c>
      <c r="G6" s="36">
        <v>60.0</v>
      </c>
      <c r="H6" s="36">
        <v>70.0</v>
      </c>
    </row>
    <row r="7" ht="12.75" customHeight="1">
      <c r="B7" s="34" t="s">
        <v>52</v>
      </c>
      <c r="C7" s="34"/>
      <c r="D7" s="35"/>
      <c r="E7" s="35"/>
      <c r="F7" s="35"/>
      <c r="G7" s="35"/>
      <c r="H7" s="35"/>
    </row>
    <row r="8" ht="12.75" customHeight="1" outlineLevel="1">
      <c r="B8" s="37"/>
      <c r="C8" s="37" t="s">
        <v>85</v>
      </c>
      <c r="D8" s="38">
        <v>1050.0</v>
      </c>
      <c r="E8" s="38">
        <v>900.0</v>
      </c>
      <c r="F8" s="38">
        <v>750.0</v>
      </c>
      <c r="G8" s="38">
        <v>600.0</v>
      </c>
      <c r="H8" s="38">
        <v>450.0</v>
      </c>
    </row>
    <row r="9" ht="12.75" customHeight="1">
      <c r="B9" s="50" t="s">
        <v>54</v>
      </c>
    </row>
    <row r="10" ht="12.75" customHeight="1">
      <c r="B10" s="50" t="s">
        <v>55</v>
      </c>
    </row>
    <row r="11" ht="12.75" customHeight="1">
      <c r="B11" s="50" t="s">
        <v>56</v>
      </c>
    </row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11.88"/>
    <col customWidth="1" min="3" max="3" width="20.25"/>
    <col customWidth="1" min="4" max="26" width="14.38"/>
  </cols>
  <sheetData>
    <row r="1" ht="15.75" customHeight="1"/>
    <row r="2" ht="15.75" customHeight="1"/>
    <row r="3" ht="15.75" customHeight="1">
      <c r="B3" s="51" t="s">
        <v>66</v>
      </c>
      <c r="C3" s="52" t="s">
        <v>14</v>
      </c>
      <c r="D3" s="2">
        <v>250.0</v>
      </c>
    </row>
    <row r="4" ht="15.75" customHeight="1">
      <c r="B4" s="53"/>
      <c r="C4" s="52" t="s">
        <v>86</v>
      </c>
      <c r="D4" s="2">
        <v>300.0</v>
      </c>
    </row>
    <row r="5" ht="15.75" customHeight="1">
      <c r="B5" s="54"/>
      <c r="C5" s="52" t="s">
        <v>87</v>
      </c>
      <c r="D5" s="2">
        <f>D3*D4</f>
        <v>75000</v>
      </c>
    </row>
    <row r="6" ht="15.75" customHeight="1">
      <c r="B6" s="51" t="s">
        <v>88</v>
      </c>
      <c r="C6" s="52" t="s">
        <v>89</v>
      </c>
      <c r="D6" s="2">
        <v>150.0</v>
      </c>
    </row>
    <row r="7" ht="15.75" customHeight="1">
      <c r="B7" s="53"/>
      <c r="C7" s="52" t="s">
        <v>90</v>
      </c>
      <c r="D7" s="2">
        <v>400.0</v>
      </c>
      <c r="F7" s="50">
        <f>D10</f>
        <v>14000</v>
      </c>
      <c r="G7" s="50">
        <v>300.0</v>
      </c>
      <c r="H7" s="50">
        <v>350.0</v>
      </c>
      <c r="I7" s="50">
        <v>400.0</v>
      </c>
      <c r="J7" s="50">
        <v>450.0</v>
      </c>
      <c r="K7" s="50">
        <v>500.0</v>
      </c>
    </row>
    <row r="8" ht="15.75" customHeight="1">
      <c r="B8" s="53"/>
      <c r="C8" s="52" t="s">
        <v>91</v>
      </c>
      <c r="D8" s="2">
        <f>D6*D7</f>
        <v>60000</v>
      </c>
      <c r="F8" s="50">
        <v>250.0</v>
      </c>
      <c r="G8" s="50">
        <v>14000.0</v>
      </c>
      <c r="H8" s="50">
        <v>26500.0</v>
      </c>
      <c r="I8" s="50">
        <v>39000.0</v>
      </c>
      <c r="J8" s="50">
        <v>51500.0</v>
      </c>
      <c r="K8" s="50">
        <v>64000.0</v>
      </c>
    </row>
    <row r="9" ht="15.75" customHeight="1">
      <c r="B9" s="54"/>
      <c r="C9" s="52" t="s">
        <v>92</v>
      </c>
      <c r="D9" s="2">
        <v>1000.0</v>
      </c>
      <c r="F9" s="50">
        <v>300.0</v>
      </c>
      <c r="G9" s="50">
        <v>29000.0</v>
      </c>
      <c r="H9" s="50">
        <v>44000.0</v>
      </c>
      <c r="I9" s="50">
        <v>59000.0</v>
      </c>
      <c r="J9" s="50">
        <v>74000.0</v>
      </c>
      <c r="K9" s="50">
        <v>89000.0</v>
      </c>
    </row>
    <row r="10" ht="15.75" customHeight="1">
      <c r="B10" s="52"/>
      <c r="C10" s="52" t="s">
        <v>93</v>
      </c>
      <c r="D10" s="2">
        <f>D5-D8-D9</f>
        <v>14000</v>
      </c>
      <c r="F10" s="50">
        <v>350.0</v>
      </c>
      <c r="G10" s="50">
        <v>44000.0</v>
      </c>
      <c r="H10" s="50">
        <v>61500.0</v>
      </c>
      <c r="I10" s="50">
        <v>79000.0</v>
      </c>
      <c r="J10" s="50">
        <v>96500.0</v>
      </c>
      <c r="K10" s="50">
        <v>114000.0</v>
      </c>
    </row>
    <row r="11" ht="15.75" customHeight="1">
      <c r="B11" s="25"/>
      <c r="C11" s="25"/>
      <c r="D11" s="25"/>
      <c r="F11" s="50">
        <v>400.0</v>
      </c>
      <c r="G11" s="50">
        <v>59000.0</v>
      </c>
      <c r="H11" s="50">
        <v>79000.0</v>
      </c>
      <c r="I11" s="50">
        <v>99000.0</v>
      </c>
      <c r="J11" s="50">
        <v>119000.0</v>
      </c>
      <c r="K11" s="50">
        <v>139000.0</v>
      </c>
    </row>
    <row r="12" ht="27.75" customHeight="1">
      <c r="B12" s="55" t="s">
        <v>94</v>
      </c>
      <c r="C12" s="8"/>
      <c r="D12" s="9"/>
    </row>
    <row r="13" ht="45.0" customHeight="1">
      <c r="B13" s="55" t="s">
        <v>95</v>
      </c>
      <c r="C13" s="8"/>
      <c r="D13" s="9"/>
    </row>
    <row r="14" ht="63.75" customHeight="1">
      <c r="B14" s="55" t="s">
        <v>96</v>
      </c>
      <c r="C14" s="8"/>
      <c r="D14" s="9"/>
    </row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B3:B5"/>
    <mergeCell ref="B6:B9"/>
    <mergeCell ref="B12:D12"/>
    <mergeCell ref="B13:D13"/>
    <mergeCell ref="B14:D14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26" width="14.38"/>
  </cols>
  <sheetData>
    <row r="1" ht="15.75" customHeight="1"/>
    <row r="2" ht="15.75" customHeight="1"/>
    <row r="3" ht="15.75" customHeight="1">
      <c r="B3" s="56" t="s">
        <v>97</v>
      </c>
      <c r="C3" s="56" t="s">
        <v>98</v>
      </c>
      <c r="F3" s="25"/>
      <c r="G3" s="25"/>
      <c r="H3" s="25"/>
      <c r="I3" s="25"/>
      <c r="J3" s="25"/>
      <c r="K3" s="25"/>
    </row>
    <row r="4" ht="15.75" customHeight="1">
      <c r="B4" s="2">
        <v>74.001</v>
      </c>
      <c r="C4" s="2">
        <v>36.45</v>
      </c>
      <c r="F4" s="25"/>
      <c r="G4" s="25"/>
      <c r="H4" s="25"/>
      <c r="I4" s="25"/>
      <c r="J4" s="25"/>
      <c r="K4" s="25"/>
    </row>
    <row r="5" ht="15.75" customHeight="1">
      <c r="B5" s="2">
        <v>74.003</v>
      </c>
      <c r="C5" s="2">
        <v>67.9</v>
      </c>
      <c r="F5" s="25"/>
      <c r="G5" s="57"/>
      <c r="H5" s="25"/>
      <c r="I5" s="25"/>
      <c r="J5" s="25"/>
      <c r="K5" s="25"/>
    </row>
    <row r="6" ht="15.75" customHeight="1">
      <c r="B6" s="2">
        <v>74.015</v>
      </c>
      <c r="C6" s="2">
        <v>38.77</v>
      </c>
      <c r="F6" s="25"/>
      <c r="G6" s="25"/>
      <c r="H6" s="25"/>
      <c r="I6" s="25"/>
      <c r="J6" s="25"/>
      <c r="K6" s="25"/>
    </row>
    <row r="7" ht="15.75" customHeight="1">
      <c r="B7" s="2">
        <v>74.0</v>
      </c>
      <c r="C7" s="2">
        <v>42.18</v>
      </c>
      <c r="F7" s="25"/>
      <c r="G7" s="25"/>
      <c r="H7" s="25"/>
      <c r="I7" s="25"/>
      <c r="J7" s="25"/>
      <c r="K7" s="25"/>
    </row>
    <row r="8" ht="15.75" customHeight="1">
      <c r="B8" s="2">
        <v>74.005</v>
      </c>
      <c r="C8" s="2">
        <v>26.72</v>
      </c>
      <c r="F8" s="25"/>
      <c r="G8" s="25"/>
      <c r="H8" s="25"/>
      <c r="I8" s="25"/>
      <c r="J8" s="25"/>
      <c r="K8" s="25"/>
    </row>
    <row r="9" ht="15.75" customHeight="1">
      <c r="B9" s="2">
        <v>74.002</v>
      </c>
      <c r="C9" s="2">
        <v>50.77</v>
      </c>
      <c r="F9" s="25"/>
      <c r="G9" s="25"/>
      <c r="H9" s="25"/>
      <c r="I9" s="25"/>
      <c r="J9" s="25"/>
      <c r="K9" s="25"/>
    </row>
    <row r="10" ht="15.75" customHeight="1">
      <c r="B10" s="2">
        <v>74.005</v>
      </c>
      <c r="C10" s="2">
        <v>39.3</v>
      </c>
      <c r="F10" s="25"/>
      <c r="G10" s="25"/>
      <c r="H10" s="25"/>
      <c r="I10" s="25"/>
      <c r="J10" s="25"/>
      <c r="K10" s="25"/>
    </row>
    <row r="11" ht="15.75" customHeight="1">
      <c r="B11" s="2">
        <v>74.004</v>
      </c>
      <c r="C11" s="2">
        <v>49.71</v>
      </c>
      <c r="F11" s="25"/>
      <c r="G11" s="25"/>
      <c r="H11" s="25"/>
      <c r="I11" s="25"/>
      <c r="J11" s="25"/>
      <c r="K11" s="25"/>
    </row>
    <row r="12" ht="15.75" customHeight="1"/>
    <row r="13" ht="53.25" customHeight="1">
      <c r="B13" s="58" t="s">
        <v>99</v>
      </c>
      <c r="C13" s="9"/>
    </row>
    <row r="14" ht="15.75" customHeight="1"/>
    <row r="15" ht="15.75" customHeight="1"/>
    <row r="16" ht="15.75" customHeight="1">
      <c r="C16" s="59"/>
      <c r="D16" s="59" t="s">
        <v>97</v>
      </c>
      <c r="E16" s="59" t="s">
        <v>98</v>
      </c>
      <c r="G16" s="59"/>
      <c r="H16" s="59" t="s">
        <v>97</v>
      </c>
      <c r="I16" s="59" t="s">
        <v>98</v>
      </c>
    </row>
    <row r="17" ht="15.75" customHeight="1">
      <c r="C17" s="27" t="s">
        <v>97</v>
      </c>
      <c r="D17" s="27">
        <f>VARP('Statistika 1'!$B$4:$B$11)</f>
        <v>0.000018984375</v>
      </c>
      <c r="E17" s="27"/>
      <c r="G17" s="27" t="s">
        <v>97</v>
      </c>
      <c r="H17" s="27">
        <v>1.0</v>
      </c>
      <c r="I17" s="27"/>
    </row>
    <row r="18" ht="15.75" customHeight="1">
      <c r="C18" s="38" t="s">
        <v>98</v>
      </c>
      <c r="D18" s="38">
        <v>-0.010868124999992505</v>
      </c>
      <c r="E18" s="38">
        <f>VARP('Statistika 1'!$C$4:$C$11)</f>
        <v>132.249775</v>
      </c>
      <c r="G18" s="38" t="s">
        <v>98</v>
      </c>
      <c r="H18" s="38">
        <v>-0.21689972527214296</v>
      </c>
      <c r="I18" s="38">
        <v>1.0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3:C13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workbookViewId="0"/>
  </sheetViews>
  <sheetFormatPr customHeight="1" defaultColWidth="12.63" defaultRowHeight="15.0"/>
  <cols>
    <col customWidth="1" min="1" max="1" width="19.88"/>
    <col customWidth="1" min="2" max="2" width="18.25"/>
    <col customWidth="1" min="3" max="3" width="20.0"/>
    <col customWidth="1" min="4" max="4" width="18.13"/>
    <col customWidth="1" min="5" max="26" width="8.63"/>
  </cols>
  <sheetData>
    <row r="1" ht="12.75" customHeight="1">
      <c r="A1" s="59" t="s">
        <v>97</v>
      </c>
      <c r="B1" s="59"/>
      <c r="C1" s="59" t="s">
        <v>98</v>
      </c>
      <c r="D1" s="59"/>
    </row>
    <row r="2" ht="12.75" customHeight="1">
      <c r="A2" s="27"/>
      <c r="B2" s="27"/>
      <c r="C2" s="27"/>
      <c r="D2" s="27"/>
    </row>
    <row r="3" ht="12.75" customHeight="1">
      <c r="A3" s="27" t="s">
        <v>100</v>
      </c>
      <c r="B3" s="27">
        <v>74.004375</v>
      </c>
      <c r="C3" s="27" t="s">
        <v>100</v>
      </c>
      <c r="D3" s="27">
        <v>43.975</v>
      </c>
    </row>
    <row r="4" ht="12.75" customHeight="1">
      <c r="A4" s="27" t="s">
        <v>101</v>
      </c>
      <c r="B4" s="27">
        <v>0.0016468313731005772</v>
      </c>
      <c r="C4" s="27" t="s">
        <v>101</v>
      </c>
      <c r="D4" s="27">
        <v>4.346587742125999</v>
      </c>
    </row>
    <row r="5" ht="12.75" customHeight="1">
      <c r="A5" s="27" t="s">
        <v>102</v>
      </c>
      <c r="B5" s="27">
        <v>74.0035</v>
      </c>
      <c r="C5" s="27" t="s">
        <v>102</v>
      </c>
      <c r="D5" s="27">
        <v>40.739999999999995</v>
      </c>
    </row>
    <row r="6" ht="12.75" customHeight="1">
      <c r="A6" s="27" t="s">
        <v>103</v>
      </c>
      <c r="B6" s="27">
        <v>74.005</v>
      </c>
      <c r="C6" s="27" t="s">
        <v>103</v>
      </c>
      <c r="D6" s="27" t="e">
        <v>#N/A</v>
      </c>
    </row>
    <row r="7" ht="12.75" customHeight="1">
      <c r="A7" s="27" t="s">
        <v>104</v>
      </c>
      <c r="B7" s="27">
        <v>0.004657942525560686</v>
      </c>
      <c r="C7" s="27" t="s">
        <v>104</v>
      </c>
      <c r="D7" s="27">
        <v>12.294006669918476</v>
      </c>
    </row>
    <row r="8" ht="12.75" customHeight="1">
      <c r="A8" s="27" t="s">
        <v>105</v>
      </c>
      <c r="B8" s="27">
        <v>2.169642857142666E-5</v>
      </c>
      <c r="C8" s="27" t="s">
        <v>105</v>
      </c>
      <c r="D8" s="27">
        <v>151.1426</v>
      </c>
    </row>
    <row r="9" ht="12.75" customHeight="1">
      <c r="A9" s="27" t="s">
        <v>106</v>
      </c>
      <c r="B9" s="27">
        <v>4.769585124234505</v>
      </c>
      <c r="C9" s="27" t="s">
        <v>106</v>
      </c>
      <c r="D9" s="27">
        <v>1.4626815785912317</v>
      </c>
    </row>
    <row r="10" ht="12.75" customHeight="1">
      <c r="A10" s="27" t="s">
        <v>107</v>
      </c>
      <c r="B10" s="27">
        <v>2.0010954628982027</v>
      </c>
      <c r="C10" s="27" t="s">
        <v>107</v>
      </c>
      <c r="D10" s="27">
        <v>0.8595009730702504</v>
      </c>
    </row>
    <row r="11" ht="12.75" customHeight="1">
      <c r="A11" s="27" t="s">
        <v>108</v>
      </c>
      <c r="B11" s="27">
        <v>0.015000000000000568</v>
      </c>
      <c r="C11" s="27" t="s">
        <v>108</v>
      </c>
      <c r="D11" s="27">
        <v>41.18000000000001</v>
      </c>
    </row>
    <row r="12" ht="12.75" customHeight="1">
      <c r="A12" s="27" t="s">
        <v>109</v>
      </c>
      <c r="B12" s="27">
        <v>74.0</v>
      </c>
      <c r="C12" s="27" t="s">
        <v>109</v>
      </c>
      <c r="D12" s="27">
        <v>26.72</v>
      </c>
    </row>
    <row r="13" ht="12.75" customHeight="1">
      <c r="A13" s="27" t="s">
        <v>110</v>
      </c>
      <c r="B13" s="27">
        <v>74.015</v>
      </c>
      <c r="C13" s="27" t="s">
        <v>110</v>
      </c>
      <c r="D13" s="27">
        <v>67.9</v>
      </c>
    </row>
    <row r="14" ht="12.75" customHeight="1">
      <c r="A14" s="27" t="s">
        <v>111</v>
      </c>
      <c r="B14" s="27">
        <v>592.035</v>
      </c>
      <c r="C14" s="27" t="s">
        <v>111</v>
      </c>
      <c r="D14" s="27">
        <v>351.8</v>
      </c>
    </row>
    <row r="15" ht="12.75" customHeight="1">
      <c r="A15" s="27" t="s">
        <v>112</v>
      </c>
      <c r="B15" s="27">
        <v>8.0</v>
      </c>
      <c r="C15" s="27" t="s">
        <v>112</v>
      </c>
      <c r="D15" s="27">
        <v>8.0</v>
      </c>
    </row>
    <row r="16" ht="12.75" customHeight="1">
      <c r="A16" s="38" t="s">
        <v>113</v>
      </c>
      <c r="B16" s="38">
        <v>0.0038941374031174706</v>
      </c>
      <c r="C16" s="38" t="s">
        <v>113</v>
      </c>
      <c r="D16" s="38">
        <v>10.278046786707064</v>
      </c>
    </row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3" width="14.38"/>
    <col customWidth="1" min="4" max="4" width="17.75"/>
    <col customWidth="1" min="5" max="5" width="20.63"/>
    <col customWidth="1" min="6" max="26" width="14.38"/>
  </cols>
  <sheetData>
    <row r="1" ht="15.75" customHeight="1">
      <c r="A1" s="50">
        <v>41.0</v>
      </c>
    </row>
    <row r="2" ht="15.75" customHeight="1">
      <c r="B2" s="56" t="s">
        <v>114</v>
      </c>
      <c r="D2" s="60" t="s">
        <v>115</v>
      </c>
      <c r="E2" s="9"/>
      <c r="F2" s="61"/>
    </row>
    <row r="3" ht="15.75" customHeight="1">
      <c r="B3" s="44">
        <v>41.0</v>
      </c>
      <c r="D3" s="59" t="s">
        <v>114</v>
      </c>
      <c r="E3" s="62"/>
    </row>
    <row r="4" ht="15.75" customHeight="1">
      <c r="B4" s="44">
        <v>26.0</v>
      </c>
      <c r="D4" s="27"/>
      <c r="E4" s="27"/>
    </row>
    <row r="5" ht="15.75" customHeight="1">
      <c r="B5" s="44">
        <v>26.0</v>
      </c>
      <c r="D5" s="27" t="s">
        <v>100</v>
      </c>
      <c r="E5" s="27">
        <v>31.258064516129032</v>
      </c>
    </row>
    <row r="6" ht="15.75" customHeight="1">
      <c r="B6" s="44">
        <v>30.0</v>
      </c>
      <c r="D6" s="27" t="s">
        <v>101</v>
      </c>
      <c r="E6" s="27">
        <v>1.4554072274489762</v>
      </c>
    </row>
    <row r="7" ht="15.75" customHeight="1">
      <c r="B7" s="44">
        <v>33.0</v>
      </c>
      <c r="D7" s="27" t="s">
        <v>102</v>
      </c>
      <c r="E7" s="27">
        <v>32.0</v>
      </c>
    </row>
    <row r="8" ht="15.75" customHeight="1">
      <c r="B8" s="44">
        <v>21.0</v>
      </c>
      <c r="D8" s="27" t="s">
        <v>103</v>
      </c>
      <c r="E8" s="27">
        <v>30.0</v>
      </c>
    </row>
    <row r="9" ht="15.75" customHeight="1">
      <c r="B9" s="44">
        <v>30.0</v>
      </c>
      <c r="D9" s="27" t="s">
        <v>104</v>
      </c>
      <c r="E9" s="27">
        <v>8.103364494395658</v>
      </c>
    </row>
    <row r="10" ht="15.75" customHeight="1">
      <c r="B10" s="44">
        <v>45.0</v>
      </c>
      <c r="D10" s="27" t="s">
        <v>105</v>
      </c>
      <c r="E10" s="27">
        <v>65.6645161290322</v>
      </c>
    </row>
    <row r="11" ht="15.75" customHeight="1">
      <c r="B11" s="44">
        <v>24.0</v>
      </c>
      <c r="D11" s="27" t="s">
        <v>106</v>
      </c>
      <c r="E11" s="27">
        <v>-0.6812952977202147</v>
      </c>
    </row>
    <row r="12" ht="15.75" customHeight="1">
      <c r="B12" s="44">
        <v>30.0</v>
      </c>
      <c r="D12" s="27" t="s">
        <v>107</v>
      </c>
      <c r="E12" s="27">
        <v>-0.18399532995232437</v>
      </c>
    </row>
    <row r="13" ht="15.75" customHeight="1">
      <c r="B13" s="44">
        <v>14.0</v>
      </c>
      <c r="D13" s="27" t="s">
        <v>108</v>
      </c>
      <c r="E13" s="27">
        <v>31.0</v>
      </c>
    </row>
    <row r="14" ht="15.75" customHeight="1">
      <c r="B14" s="44">
        <v>37.0</v>
      </c>
      <c r="D14" s="27" t="s">
        <v>109</v>
      </c>
      <c r="E14" s="27">
        <v>14.0</v>
      </c>
    </row>
    <row r="15" ht="15.75" customHeight="1">
      <c r="B15" s="44">
        <v>33.0</v>
      </c>
      <c r="D15" s="27" t="s">
        <v>110</v>
      </c>
      <c r="E15" s="27">
        <v>45.0</v>
      </c>
    </row>
    <row r="16" ht="15.75" customHeight="1">
      <c r="B16" s="44">
        <v>33.0</v>
      </c>
      <c r="D16" s="27" t="s">
        <v>111</v>
      </c>
      <c r="E16" s="27">
        <v>969.0</v>
      </c>
    </row>
    <row r="17" ht="15.75" customHeight="1">
      <c r="B17" s="44">
        <v>40.0</v>
      </c>
      <c r="D17" s="27" t="s">
        <v>112</v>
      </c>
      <c r="E17" s="27">
        <v>31.0</v>
      </c>
    </row>
    <row r="18" ht="15.75" customHeight="1">
      <c r="B18" s="44">
        <v>21.0</v>
      </c>
      <c r="D18" s="38" t="s">
        <v>113</v>
      </c>
      <c r="E18" s="38">
        <v>2.972338093320795</v>
      </c>
    </row>
    <row r="19" ht="15.75" customHeight="1">
      <c r="B19" s="44">
        <v>36.0</v>
      </c>
    </row>
    <row r="20" ht="15.75" customHeight="1">
      <c r="B20" s="44">
        <v>27.0</v>
      </c>
    </row>
    <row r="21" ht="15.75" customHeight="1">
      <c r="B21" s="44">
        <v>21.0</v>
      </c>
    </row>
    <row r="22" ht="15.75" customHeight="1">
      <c r="B22" s="44">
        <v>37.0</v>
      </c>
    </row>
    <row r="23" ht="15.75" customHeight="1">
      <c r="B23" s="44">
        <v>27.0</v>
      </c>
    </row>
    <row r="24" ht="15.75" customHeight="1">
      <c r="B24" s="44">
        <v>28.0</v>
      </c>
    </row>
    <row r="25" ht="15.75" customHeight="1">
      <c r="B25" s="44">
        <v>32.0</v>
      </c>
    </row>
    <row r="26" ht="15.75" customHeight="1">
      <c r="B26" s="44">
        <v>41.0</v>
      </c>
    </row>
    <row r="27" ht="15.75" customHeight="1">
      <c r="B27" s="44">
        <v>17.0</v>
      </c>
    </row>
    <row r="28" ht="15.75" customHeight="1">
      <c r="B28" s="44">
        <v>32.0</v>
      </c>
    </row>
    <row r="29" ht="15.75" customHeight="1">
      <c r="B29" s="44">
        <v>40.0</v>
      </c>
    </row>
    <row r="30" ht="15.75" customHeight="1">
      <c r="B30" s="44">
        <v>24.0</v>
      </c>
    </row>
    <row r="31" ht="15.75" customHeight="1">
      <c r="B31" s="44">
        <v>37.0</v>
      </c>
    </row>
    <row r="32" ht="15.75" customHeight="1">
      <c r="B32" s="44">
        <v>44.0</v>
      </c>
    </row>
    <row r="33" ht="15.75" customHeight="1">
      <c r="B33" s="44">
        <v>42.0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D2:E2"/>
    <mergeCell ref="D3:E3"/>
  </mergeCells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2019-12-09T11:14:16Z</dcterms:created>
  <dc:creator>maksim</dc:creator>
</cp:coreProperties>
</file>